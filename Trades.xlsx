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ano\AppData\Roaming\.minecraft\saves\Data Packs\datapacks\RandomsWanderingTraders\"/>
    </mc:Choice>
  </mc:AlternateContent>
  <xr:revisionPtr revIDLastSave="0" documentId="8_{6C2D57D1-B1E6-40E3-9784-F786C506EF11}" xr6:coauthVersionLast="47" xr6:coauthVersionMax="47" xr10:uidLastSave="{00000000-0000-0000-0000-000000000000}"/>
  <bookViews>
    <workbookView xWindow="-120" yWindow="-120" windowWidth="38640" windowHeight="21240" xr2:uid="{C8DB8A36-DE16-45E1-B046-5BCE4EFF0776}"/>
  </bookViews>
  <sheets>
    <sheet name="Buy" sheetId="2" r:id="rId1"/>
    <sheet name="Blocks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1" i="1" l="1"/>
  <c r="F21" i="2"/>
  <c r="G5" i="2"/>
  <c r="G2" i="2"/>
  <c r="G3" i="2"/>
  <c r="G4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4" i="1"/>
  <c r="G3" i="1"/>
  <c r="G2" i="1"/>
  <c r="G21" i="2" l="1"/>
  <c r="G21" i="1"/>
</calcChain>
</file>

<file path=xl/sharedStrings.xml><?xml version="1.0" encoding="utf-8"?>
<sst xmlns="http://schemas.openxmlformats.org/spreadsheetml/2006/main" count="46" uniqueCount="17">
  <si>
    <t>Weight</t>
  </si>
  <si>
    <t>% Chance</t>
  </si>
  <si>
    <t>Sell</t>
  </si>
  <si>
    <t>Buy</t>
  </si>
  <si>
    <t>Qty</t>
  </si>
  <si>
    <t>Qty2</t>
  </si>
  <si>
    <t>Total</t>
  </si>
  <si>
    <t>MaxUses</t>
  </si>
  <si>
    <t>json</t>
  </si>
  <si>
    <t>minecraft:coal</t>
  </si>
  <si>
    <t>minecraft:wheat</t>
  </si>
  <si>
    <t>minecraft:torch</t>
  </si>
  <si>
    <t>minecraft:bread</t>
  </si>
  <si>
    <t>minecraft:emerald</t>
  </si>
  <si>
    <t>minecraft:mycelium</t>
  </si>
  <si>
    <t>minecraft:hay_block</t>
  </si>
  <si>
    <t>minecraft:baked_potato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</si>
</sst>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040DE66-9AC5-4103-9FAF-C11754033471}" name="Table24" displayName="Table24" ref="A1:H21" totalsRowCount="1">
  <autoFilter ref="A1:H20" xr:uid="{0D9AF196-E1D1-4BD8-9CED-12CAD782B454}"/>
  <tableColumns count="8">
    <tableColumn id="1" xr3:uid="{CAB48374-3AB3-461F-BF06-0E763865AA7B}" name="Buy" totalsRowLabel="Total"/>
    <tableColumn id="2" xr3:uid="{64C7D015-0251-44C5-ADE8-84BCF2934592}" name="Qty"/>
    <tableColumn id="3" xr3:uid="{7727219A-31E8-4EBA-B3FB-82E4D8C68564}" name="Sell"/>
    <tableColumn id="4" xr3:uid="{2CD86B2D-4495-4D86-82D3-48DAC2530A3B}" name="Qty2"/>
    <tableColumn id="7" xr3:uid="{5706E6CD-A8DE-465C-A988-8358EDE5E2DD}" name="MaxUses"/>
    <tableColumn id="5" xr3:uid="{9BE14FD2-CCE2-40E2-A818-FDACE557CB35}" name="% Chance" totalsRowFunction="sum"/>
    <tableColumn id="6" xr3:uid="{ADD54FD4-7999-4229-9339-F5E43F174EBC}" name="Weight" totalsRowFunction="sum" dataDxfId="5">
      <calculatedColumnFormula>F2/MIN(Table24[% Chance])</calculatedColumnFormula>
    </tableColumn>
    <tableColumn id="8" xr3:uid="{480C38A0-3BEE-44D4-931E-B342E36E1045}" name="json" dataDxfId="4">
      <calculatedColumnFormula>CONCATENATE("{buy: { id: """,Table24[[#This Row],[Buy]],""", count: ",Table24[[#This Row],[Qty]]," },sell: { id: """,Table24[[#This Row],[Sell]],""", count: ",Table24[[#This Row],[Qty2]]," },priceMultiplier: 0.05f,maxUses: ",Table24[[#This Row],[MaxUses]],"}")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9AF196-E1D1-4BD8-9CED-12CAD782B454}" name="Table2" displayName="Table2" ref="A1:H21" totalsRowCount="1">
  <autoFilter ref="A1:H20" xr:uid="{0D9AF196-E1D1-4BD8-9CED-12CAD782B454}"/>
  <tableColumns count="8">
    <tableColumn id="1" xr3:uid="{4358E322-4D0E-417C-89BD-AECF8A939886}" name="Buy" totalsRowLabel="Total"/>
    <tableColumn id="2" xr3:uid="{B4626EC8-7F2E-477E-896F-375D7C37C0DC}" name="Qty"/>
    <tableColumn id="3" xr3:uid="{6EA4B8B9-703F-4267-A99F-900BAB267923}" name="Sell"/>
    <tableColumn id="4" xr3:uid="{91D44B0F-1594-464E-B145-D0C86F9736B7}" name="Qty2"/>
    <tableColumn id="7" xr3:uid="{77DF8F6F-F8C3-4C89-A116-EFA8BA650E5E}" name="MaxUses"/>
    <tableColumn id="5" xr3:uid="{50C4BF3F-DBA8-41CB-9E13-F51C58477E90}" name="% Chance" totalsRowFunction="sum"/>
    <tableColumn id="6" xr3:uid="{8B5629A2-D744-433E-BCE4-8077DBDF2A5E}" name="Weight" totalsRowFunction="sum" dataDxfId="7">
      <calculatedColumnFormula>F2/MIN(Table2[% Chance])</calculatedColumnFormula>
    </tableColumn>
    <tableColumn id="8" xr3:uid="{2B3EED1E-5BD9-4525-A4A7-AC476B511DD8}" name="json" dataDxfId="6">
      <calculatedColumnFormula>CONCATENATE("{buy:{id:""",Table2[[#This Row],[Buy]],""",count:",Table2[[#This Row],[Qty]],"},sell:{id:""",Table2[[#This Row],[Sell]],""",count:",Table2[[#This Row],[Qty2]],"},priceMultiplier:0.05f,maxUses:",Table2[[#This Row],[MaxUses]],"}")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87E88-D128-4597-AD85-17977AEA3718}">
  <dimension ref="A1:H21"/>
  <sheetViews>
    <sheetView tabSelected="1" zoomScale="190" zoomScaleNormal="190" workbookViewId="0">
      <selection activeCell="F6" sqref="F6"/>
    </sheetView>
  </sheetViews>
  <sheetFormatPr defaultRowHeight="15" x14ac:dyDescent="0.25"/>
  <cols>
    <col min="1" max="1" width="22.85546875" bestFit="1" customWidth="1"/>
    <col min="2" max="2" width="6.42578125" bestFit="1" customWidth="1"/>
    <col min="3" max="3" width="17.85546875" bestFit="1" customWidth="1"/>
    <col min="4" max="4" width="7.42578125" bestFit="1" customWidth="1"/>
    <col min="5" max="5" width="11.42578125" bestFit="1" customWidth="1"/>
    <col min="6" max="6" width="11.7109375" bestFit="1" customWidth="1"/>
    <col min="7" max="7" width="9.85546875" bestFit="1" customWidth="1"/>
    <col min="8" max="8" width="105.7109375" bestFit="1" customWidth="1"/>
  </cols>
  <sheetData>
    <row r="1" spans="1:8" x14ac:dyDescent="0.25">
      <c r="A1" t="s">
        <v>3</v>
      </c>
      <c r="B1" t="s">
        <v>4</v>
      </c>
      <c r="C1" t="s">
        <v>2</v>
      </c>
      <c r="D1" t="s">
        <v>5</v>
      </c>
      <c r="E1" t="s">
        <v>7</v>
      </c>
      <c r="F1" t="s">
        <v>1</v>
      </c>
      <c r="G1" t="s">
        <v>0</v>
      </c>
      <c r="H1" t="s">
        <v>8</v>
      </c>
    </row>
    <row r="2" spans="1:8" x14ac:dyDescent="0.25">
      <c r="A2" t="s">
        <v>9</v>
      </c>
      <c r="B2">
        <v>1</v>
      </c>
      <c r="C2" t="s">
        <v>11</v>
      </c>
      <c r="D2">
        <v>8</v>
      </c>
      <c r="E2">
        <v>4</v>
      </c>
      <c r="G2" t="e">
        <f>F2/MIN(Table24[% Chance])</f>
        <v>#DIV/0!</v>
      </c>
      <c r="H2" t="str">
        <f>CONCATENATE("{buy:{id:""",Table24[[#This Row],[Buy]],""",count:",Table24[[#This Row],[Qty]],"},sell:{id:""",Table24[[#This Row],[Sell]],""",count:",Table24[[#This Row],[Qty2]],"},priceMultiplier:0.05f,maxUses:",Table24[[#This Row],[MaxUses]],"}")</f>
        <v>{buy:{id:"minecraft:coal",count:1},sell:{id:"minecraft:torch",count:8},priceMultiplier:0.05f,maxUses:4}</v>
      </c>
    </row>
    <row r="3" spans="1:8" x14ac:dyDescent="0.25">
      <c r="A3" t="s">
        <v>10</v>
      </c>
      <c r="B3">
        <v>2</v>
      </c>
      <c r="C3" t="s">
        <v>12</v>
      </c>
      <c r="D3">
        <v>1</v>
      </c>
      <c r="E3">
        <v>16</v>
      </c>
      <c r="G3" t="e">
        <f>F3/MIN(Table24[% Chance])</f>
        <v>#DIV/0!</v>
      </c>
      <c r="H3" t="str">
        <f>CONCATENATE("{buy:{id:""",Table24[[#This Row],[Buy]],""",count:",Table24[[#This Row],[Qty]],"},sell:{id:""",Table24[[#This Row],[Sell]],""",count:",Table24[[#This Row],[Qty2]],"},priceMultiplier:0.05f,maxUses:",Table24[[#This Row],[MaxUses]],"}")</f>
        <v>{buy:{id:"minecraft:wheat",count:2},sell:{id:"minecraft:bread",count:1},priceMultiplier:0.05f,maxUses:16}</v>
      </c>
    </row>
    <row r="4" spans="1:8" x14ac:dyDescent="0.25">
      <c r="A4" t="s">
        <v>15</v>
      </c>
      <c r="B4">
        <v>1</v>
      </c>
      <c r="C4" t="s">
        <v>13</v>
      </c>
      <c r="D4">
        <v>1</v>
      </c>
      <c r="E4">
        <v>4</v>
      </c>
      <c r="G4" t="e">
        <f>F4/MIN(Table24[% Chance])</f>
        <v>#DIV/0!</v>
      </c>
      <c r="H4" t="str">
        <f>CONCATENATE("{buy:{id:""",Table24[[#This Row],[Buy]],""",count:",Table24[[#This Row],[Qty]],"},sell:{id:""",Table24[[#This Row],[Sell]],""",count:",Table24[[#This Row],[Qty2]],"},priceMultiplier:0.05f,maxUses:",Table24[[#This Row],[MaxUses]],"}")</f>
        <v>{buy:{id:"minecraft:hay_block",count:1},sell:{id:"minecraft:emerald",count:1},priceMultiplier:0.05f,maxUses:4}</v>
      </c>
    </row>
    <row r="5" spans="1:8" x14ac:dyDescent="0.25">
      <c r="A5" t="s">
        <v>16</v>
      </c>
      <c r="B5">
        <v>4</v>
      </c>
      <c r="C5" t="s">
        <v>13</v>
      </c>
      <c r="D5">
        <v>1</v>
      </c>
      <c r="E5">
        <v>4</v>
      </c>
      <c r="G5" t="e">
        <f>F5/MIN(Table24[% Chance])</f>
        <v>#DIV/0!</v>
      </c>
      <c r="H5" t="str">
        <f>CONCATENATE("{buy:{id:""",Table24[[#This Row],[Buy]],""",count:",Table24[[#This Row],[Qty]],"},sell:{id:""",Table24[[#This Row],[Sell]],""",count:",Table24[[#This Row],[Qty2]],"},priceMultiplier:0.05f,maxUses:",Table24[[#This Row],[MaxUses]],"}")</f>
        <v>{buy:{id:"minecraft:baked_potato",count:4},sell:{id:"minecraft:emerald",count:1},priceMultiplier:0.05f,maxUses:4}</v>
      </c>
    </row>
    <row r="6" spans="1:8" x14ac:dyDescent="0.25">
      <c r="G6" t="e">
        <f>F6/MIN(Table24[% Chance])</f>
        <v>#DIV/0!</v>
      </c>
      <c r="H6" t="str">
        <f>CONCATENATE("{buy:{id:""",Table24[[#This Row],[Buy]],""",count:",Table24[[#This Row],[Qty]],"},sell:{id:""",Table24[[#This Row],[Sell]],""",count:",Table24[[#This Row],[Qty2]],"},priceMultiplier:0.05f,maxUses:",Table24[[#This Row],[MaxUses]],"}")</f>
        <v>{buy:{id:"",count:},sell:{id:"",count:},priceMultiplier:0.05f,maxUses:}</v>
      </c>
    </row>
    <row r="7" spans="1:8" x14ac:dyDescent="0.25">
      <c r="G7" t="e">
        <f>F7/MIN(Table24[% Chance])</f>
        <v>#DIV/0!</v>
      </c>
      <c r="H7" t="str">
        <f>CONCATENATE("{buy:{id:""",Table24[[#This Row],[Buy]],""",count:",Table24[[#This Row],[Qty]],"},sell:{id:""",Table24[[#This Row],[Sell]],""",count:",Table24[[#This Row],[Qty2]],"},priceMultiplier:0.05f,maxUses:",Table24[[#This Row],[MaxUses]],"}")</f>
        <v>{buy:{id:"",count:},sell:{id:"",count:},priceMultiplier:0.05f,maxUses:}</v>
      </c>
    </row>
    <row r="8" spans="1:8" x14ac:dyDescent="0.25">
      <c r="G8" t="e">
        <f>F8/MIN(Table24[% Chance])</f>
        <v>#DIV/0!</v>
      </c>
      <c r="H8" t="str">
        <f>CONCATENATE("{buy:{id:""",Table24[[#This Row],[Buy]],""",count:",Table24[[#This Row],[Qty]],"},sell:{id:""",Table24[[#This Row],[Sell]],""",count:",Table24[[#This Row],[Qty2]],"},priceMultiplier:0.05f,maxUses:",Table24[[#This Row],[MaxUses]],"}")</f>
        <v>{buy:{id:"",count:},sell:{id:"",count:},priceMultiplier:0.05f,maxUses:}</v>
      </c>
    </row>
    <row r="9" spans="1:8" x14ac:dyDescent="0.25">
      <c r="G9" t="e">
        <f>F9/MIN(Table24[% Chance])</f>
        <v>#DIV/0!</v>
      </c>
      <c r="H9" t="str">
        <f>CONCATENATE("{buy:{id:""",Table24[[#This Row],[Buy]],""",count:",Table24[[#This Row],[Qty]],"},sell:{id:""",Table24[[#This Row],[Sell]],""",count:",Table24[[#This Row],[Qty2]],"},priceMultiplier:0.05f,maxUses:",Table24[[#This Row],[MaxUses]],"}")</f>
        <v>{buy:{id:"",count:},sell:{id:"",count:},priceMultiplier:0.05f,maxUses:}</v>
      </c>
    </row>
    <row r="10" spans="1:8" x14ac:dyDescent="0.25">
      <c r="G10" t="e">
        <f>F10/MIN(Table24[% Chance])</f>
        <v>#DIV/0!</v>
      </c>
      <c r="H10" t="str">
        <f>CONCATENATE("{buy:{id:""",Table24[[#This Row],[Buy]],""",count:",Table24[[#This Row],[Qty]],"},sell:{id:""",Table24[[#This Row],[Sell]],""",count:",Table24[[#This Row],[Qty2]],"},priceMultiplier:0.05f,maxUses:",Table24[[#This Row],[MaxUses]],"}")</f>
        <v>{buy:{id:"",count:},sell:{id:"",count:},priceMultiplier:0.05f,maxUses:}</v>
      </c>
    </row>
    <row r="11" spans="1:8" x14ac:dyDescent="0.25">
      <c r="G11" t="e">
        <f>F11/MIN(Table24[% Chance])</f>
        <v>#DIV/0!</v>
      </c>
      <c r="H11" t="str">
        <f>CONCATENATE("{buy:{id:""",Table24[[#This Row],[Buy]],""",count:",Table24[[#This Row],[Qty]],"},sell:{id:""",Table24[[#This Row],[Sell]],""",count:",Table24[[#This Row],[Qty2]],"},priceMultiplier:0.05f,maxUses:",Table24[[#This Row],[MaxUses]],"}")</f>
        <v>{buy:{id:"",count:},sell:{id:"",count:},priceMultiplier:0.05f,maxUses:}</v>
      </c>
    </row>
    <row r="12" spans="1:8" x14ac:dyDescent="0.25">
      <c r="G12" t="e">
        <f>F12/MIN(Table24[% Chance])</f>
        <v>#DIV/0!</v>
      </c>
      <c r="H12" t="str">
        <f>CONCATENATE("{buy:{id:""",Table24[[#This Row],[Buy]],""",count:",Table24[[#This Row],[Qty]],"},sell:{id:""",Table24[[#This Row],[Sell]],""",count:",Table24[[#This Row],[Qty2]],"},priceMultiplier:0.05f,maxUses:",Table24[[#This Row],[MaxUses]],"}")</f>
        <v>{buy:{id:"",count:},sell:{id:"",count:},priceMultiplier:0.05f,maxUses:}</v>
      </c>
    </row>
    <row r="13" spans="1:8" x14ac:dyDescent="0.25">
      <c r="G13" t="e">
        <f>F13/MIN(Table24[% Chance])</f>
        <v>#DIV/0!</v>
      </c>
      <c r="H13" t="str">
        <f>CONCATENATE("{buy:{id:""",Table24[[#This Row],[Buy]],""",count:",Table24[[#This Row],[Qty]],"},sell:{id:""",Table24[[#This Row],[Sell]],""",count:",Table24[[#This Row],[Qty2]],"},priceMultiplier:0.05f,maxUses:",Table24[[#This Row],[MaxUses]],"}")</f>
        <v>{buy:{id:"",count:},sell:{id:"",count:},priceMultiplier:0.05f,maxUses:}</v>
      </c>
    </row>
    <row r="14" spans="1:8" x14ac:dyDescent="0.25">
      <c r="G14" t="e">
        <f>F14/MIN(Table24[% Chance])</f>
        <v>#DIV/0!</v>
      </c>
      <c r="H14" t="str">
        <f>CONCATENATE("{buy:{id:""",Table24[[#This Row],[Buy]],""",count:",Table24[[#This Row],[Qty]],"},sell:{id:""",Table24[[#This Row],[Sell]],""",count:",Table24[[#This Row],[Qty2]],"},priceMultiplier:0.05f,maxUses:",Table24[[#This Row],[MaxUses]],"}")</f>
        <v>{buy:{id:"",count:},sell:{id:"",count:},priceMultiplier:0.05f,maxUses:}</v>
      </c>
    </row>
    <row r="15" spans="1:8" x14ac:dyDescent="0.25">
      <c r="G15" t="e">
        <f>F15/MIN(Table24[% Chance])</f>
        <v>#DIV/0!</v>
      </c>
      <c r="H15" t="str">
        <f>CONCATENATE("{buy:{id:""",Table24[[#This Row],[Buy]],""",count:",Table24[[#This Row],[Qty]],"},sell:{id:""",Table24[[#This Row],[Sell]],""",count:",Table24[[#This Row],[Qty2]],"},priceMultiplier:0.05f,maxUses:",Table24[[#This Row],[MaxUses]],"}")</f>
        <v>{buy:{id:"",count:},sell:{id:"",count:},priceMultiplier:0.05f,maxUses:}</v>
      </c>
    </row>
    <row r="16" spans="1:8" x14ac:dyDescent="0.25">
      <c r="G16" t="e">
        <f>F16/MIN(Table24[% Chance])</f>
        <v>#DIV/0!</v>
      </c>
      <c r="H16" t="str">
        <f>CONCATENATE("{buy:{id:""",Table24[[#This Row],[Buy]],""",count:",Table24[[#This Row],[Qty]],"},sell:{id:""",Table24[[#This Row],[Sell]],""",count:",Table24[[#This Row],[Qty2]],"},priceMultiplier:0.05f,maxUses:",Table24[[#This Row],[MaxUses]],"}")</f>
        <v>{buy:{id:"",count:},sell:{id:"",count:},priceMultiplier:0.05f,maxUses:}</v>
      </c>
    </row>
    <row r="17" spans="1:8" x14ac:dyDescent="0.25">
      <c r="G17" t="e">
        <f>F17/MIN(Table24[% Chance])</f>
        <v>#DIV/0!</v>
      </c>
      <c r="H17" t="str">
        <f>CONCATENATE("{buy:{id:""",Table24[[#This Row],[Buy]],""",count:",Table24[[#This Row],[Qty]],"},sell:{id:""",Table24[[#This Row],[Sell]],""",count:",Table24[[#This Row],[Qty2]],"},priceMultiplier:0.05f,maxUses:",Table24[[#This Row],[MaxUses]],"}")</f>
        <v>{buy:{id:"",count:},sell:{id:"",count:},priceMultiplier:0.05f,maxUses:}</v>
      </c>
    </row>
    <row r="18" spans="1:8" x14ac:dyDescent="0.25">
      <c r="G18" t="e">
        <f>F18/MIN(Table24[% Chance])</f>
        <v>#DIV/0!</v>
      </c>
      <c r="H18" t="str">
        <f>CONCATENATE("{buy:{id:""",Table24[[#This Row],[Buy]],""",count:",Table24[[#This Row],[Qty]],"},sell:{id:""",Table24[[#This Row],[Sell]],""",count:",Table24[[#This Row],[Qty2]],"},priceMultiplier:0.05f,maxUses:",Table24[[#This Row],[MaxUses]],"}")</f>
        <v>{buy:{id:"",count:},sell:{id:"",count:},priceMultiplier:0.05f,maxUses:}</v>
      </c>
    </row>
    <row r="19" spans="1:8" x14ac:dyDescent="0.25">
      <c r="G19" t="e">
        <f>F19/MIN(Table24[% Chance])</f>
        <v>#DIV/0!</v>
      </c>
      <c r="H19" t="str">
        <f>CONCATENATE("{buy:{id:""",Table24[[#This Row],[Buy]],""",count:",Table24[[#This Row],[Qty]],"},sell:{id:""",Table24[[#This Row],[Sell]],""",count:",Table24[[#This Row],[Qty2]],"},priceMultiplier:0.05f,maxUses:",Table24[[#This Row],[MaxUses]],"}")</f>
        <v>{buy:{id:"",count:},sell:{id:"",count:},priceMultiplier:0.05f,maxUses:}</v>
      </c>
    </row>
    <row r="20" spans="1:8" x14ac:dyDescent="0.25">
      <c r="G20" t="e">
        <f>F20/MIN(Table24[% Chance])</f>
        <v>#DIV/0!</v>
      </c>
      <c r="H20" t="str">
        <f>CONCATENATE("{buy:{id:""",Table24[[#This Row],[Buy]],""",count:",Table24[[#This Row],[Qty]],"},sell:{id:""",Table24[[#This Row],[Sell]],""",count:",Table24[[#This Row],[Qty2]],"},priceMultiplier:0.05f,maxUses:",Table24[[#This Row],[MaxUses]],"}")</f>
        <v>{buy:{id:"",count:},sell:{id:"",count:},priceMultiplier:0.05f,maxUses:}</v>
      </c>
    </row>
    <row r="21" spans="1:8" x14ac:dyDescent="0.25">
      <c r="A21" t="s">
        <v>6</v>
      </c>
      <c r="F21">
        <f>SUBTOTAL(109,Table24[% Chance])</f>
        <v>0</v>
      </c>
      <c r="G21" t="e">
        <f>SUBTOTAL(109,Table24[Weight])</f>
        <v>#DIV/0!</v>
      </c>
    </row>
  </sheetData>
  <phoneticPr fontId="1" type="noConversion"/>
  <conditionalFormatting sqref="F21">
    <cfRule type="cellIs" dxfId="3" priority="2" operator="equal">
      <formula>100</formula>
    </cfRule>
    <cfRule type="cellIs" dxfId="2" priority="1" operator="notEqual">
      <formula>100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818F8-D48F-4170-BFEF-18D3C9F7632F}">
  <dimension ref="A1:H21"/>
  <sheetViews>
    <sheetView zoomScale="190" zoomScaleNormal="190" workbookViewId="0">
      <selection activeCell="C3" sqref="C3"/>
    </sheetView>
  </sheetViews>
  <sheetFormatPr defaultRowHeight="15" x14ac:dyDescent="0.25"/>
  <cols>
    <col min="1" max="1" width="17.85546875" bestFit="1" customWidth="1"/>
    <col min="2" max="2" width="6.42578125" bestFit="1" customWidth="1"/>
    <col min="3" max="3" width="19.140625" bestFit="1" customWidth="1"/>
    <col min="4" max="4" width="7.42578125" bestFit="1" customWidth="1"/>
    <col min="5" max="5" width="11.42578125" bestFit="1" customWidth="1"/>
    <col min="6" max="6" width="11.7109375" bestFit="1" customWidth="1"/>
    <col min="7" max="7" width="9.85546875" bestFit="1" customWidth="1"/>
    <col min="8" max="8" width="101" bestFit="1" customWidth="1"/>
  </cols>
  <sheetData>
    <row r="1" spans="1:8" x14ac:dyDescent="0.25">
      <c r="A1" t="s">
        <v>3</v>
      </c>
      <c r="B1" t="s">
        <v>4</v>
      </c>
      <c r="C1" t="s">
        <v>2</v>
      </c>
      <c r="D1" t="s">
        <v>5</v>
      </c>
      <c r="E1" t="s">
        <v>7</v>
      </c>
      <c r="F1" t="s">
        <v>1</v>
      </c>
      <c r="G1" t="s">
        <v>0</v>
      </c>
      <c r="H1" t="s">
        <v>8</v>
      </c>
    </row>
    <row r="2" spans="1:8" x14ac:dyDescent="0.25">
      <c r="A2" t="s">
        <v>13</v>
      </c>
      <c r="B2">
        <v>1</v>
      </c>
      <c r="C2" t="s">
        <v>14</v>
      </c>
      <c r="D2">
        <v>1</v>
      </c>
      <c r="E2">
        <v>4</v>
      </c>
      <c r="G2" t="e">
        <f>F2/MIN(Table2[% Chance])</f>
        <v>#DIV/0!</v>
      </c>
      <c r="H2" t="str">
        <f>CONCATENATE("{buy:{id:""",Table2[[#This Row],[Buy]],""",count:",Table2[[#This Row],[Qty]],"},sell:{id:""",Table2[[#This Row],[Sell]],""",count:",Table2[[#This Row],[Qty2]],"},priceMultiplier:0.05f,maxUses:",Table2[[#This Row],[MaxUses]],"}")</f>
        <v>{buy:{id:"minecraft:emerald",count:1},sell:{id:"minecraft:mycelium",count:1},priceMultiplier:0.05f,maxUses:4}</v>
      </c>
    </row>
    <row r="3" spans="1:8" x14ac:dyDescent="0.25">
      <c r="A3" t="s">
        <v>13</v>
      </c>
      <c r="G3" t="e">
        <f>F3/MIN(Table2[% Chance])</f>
        <v>#DIV/0!</v>
      </c>
      <c r="H3" t="str">
        <f>CONCATENATE("{buy:{id:""",Table2[[#This Row],[Buy]],""",count:",Table2[[#This Row],[Qty]],"},sell:{id:""",Table2[[#This Row],[Sell]],""",count:",Table2[[#This Row],[Qty2]],"},priceMultiplier:0.05f,maxUses:",Table2[[#This Row],[MaxUses]],"}")</f>
        <v>{buy:{id:"minecraft:emerald",count:},sell:{id:"",count:},priceMultiplier:0.05f,maxUses:}</v>
      </c>
    </row>
    <row r="4" spans="1:8" x14ac:dyDescent="0.25">
      <c r="A4" t="s">
        <v>13</v>
      </c>
      <c r="G4" t="e">
        <f>F4/MIN(Table2[% Chance])</f>
        <v>#DIV/0!</v>
      </c>
      <c r="H4" t="str">
        <f>CONCATENATE("{buy:{id:""",Table2[[#This Row],[Buy]],""",count:",Table2[[#This Row],[Qty]],"},sell:{id:""",Table2[[#This Row],[Sell]],""",count:",Table2[[#This Row],[Qty2]],"},priceMultiplier:0.05f,maxUses:",Table2[[#This Row],[MaxUses]],"}")</f>
        <v>{buy:{id:"minecraft:emerald",count:},sell:{id:"",count:},priceMultiplier:0.05f,maxUses:}</v>
      </c>
    </row>
    <row r="5" spans="1:8" x14ac:dyDescent="0.25">
      <c r="A5" t="s">
        <v>13</v>
      </c>
      <c r="G5" t="e">
        <f>F5/MIN(Table2[% Chance])</f>
        <v>#DIV/0!</v>
      </c>
      <c r="H5" t="str">
        <f>CONCATENATE("{buy:{id:""",Table2[[#This Row],[Buy]],""",count:",Table2[[#This Row],[Qty]],"},sell:{id:""",Table2[[#This Row],[Sell]],""",count:",Table2[[#This Row],[Qty2]],"},priceMultiplier:0.05f,maxUses:",Table2[[#This Row],[MaxUses]],"}")</f>
        <v>{buy:{id:"minecraft:emerald",count:},sell:{id:"",count:},priceMultiplier:0.05f,maxUses:}</v>
      </c>
    </row>
    <row r="6" spans="1:8" x14ac:dyDescent="0.25">
      <c r="A6" t="s">
        <v>13</v>
      </c>
      <c r="G6" t="e">
        <f>F6/MIN(Table2[% Chance])</f>
        <v>#DIV/0!</v>
      </c>
      <c r="H6" t="str">
        <f>CONCATENATE("{buy:{id:""",Table2[[#This Row],[Buy]],""",count:",Table2[[#This Row],[Qty]],"},sell:{id:""",Table2[[#This Row],[Sell]],""",count:",Table2[[#This Row],[Qty2]],"},priceMultiplier:0.05f,maxUses:",Table2[[#This Row],[MaxUses]],"}")</f>
        <v>{buy:{id:"minecraft:emerald",count:},sell:{id:"",count:},priceMultiplier:0.05f,maxUses:}</v>
      </c>
    </row>
    <row r="7" spans="1:8" x14ac:dyDescent="0.25">
      <c r="A7" t="s">
        <v>13</v>
      </c>
      <c r="G7" t="e">
        <f>F7/MIN(Table2[% Chance])</f>
        <v>#DIV/0!</v>
      </c>
      <c r="H7" t="str">
        <f>CONCATENATE("{buy:{id:""",Table2[[#This Row],[Buy]],""",count:",Table2[[#This Row],[Qty]],"},sell:{id:""",Table2[[#This Row],[Sell]],""",count:",Table2[[#This Row],[Qty2]],"},priceMultiplier:0.05f,maxUses:",Table2[[#This Row],[MaxUses]],"}")</f>
        <v>{buy:{id:"minecraft:emerald",count:},sell:{id:"",count:},priceMultiplier:0.05f,maxUses:}</v>
      </c>
    </row>
    <row r="8" spans="1:8" x14ac:dyDescent="0.25">
      <c r="A8" t="s">
        <v>13</v>
      </c>
      <c r="G8" t="e">
        <f>F8/MIN(Table2[% Chance])</f>
        <v>#DIV/0!</v>
      </c>
      <c r="H8" t="str">
        <f>CONCATENATE("{buy:{id:""",Table2[[#This Row],[Buy]],""",count:",Table2[[#This Row],[Qty]],"},sell:{id:""",Table2[[#This Row],[Sell]],""",count:",Table2[[#This Row],[Qty2]],"},priceMultiplier:0.05f,maxUses:",Table2[[#This Row],[MaxUses]],"}")</f>
        <v>{buy:{id:"minecraft:emerald",count:},sell:{id:"",count:},priceMultiplier:0.05f,maxUses:}</v>
      </c>
    </row>
    <row r="9" spans="1:8" x14ac:dyDescent="0.25">
      <c r="A9" t="s">
        <v>13</v>
      </c>
      <c r="G9" t="e">
        <f>F9/MIN(Table2[% Chance])</f>
        <v>#DIV/0!</v>
      </c>
      <c r="H9" t="str">
        <f>CONCATENATE("{buy:{id:""",Table2[[#This Row],[Buy]],""",count:",Table2[[#This Row],[Qty]],"},sell:{id:""",Table2[[#This Row],[Sell]],""",count:",Table2[[#This Row],[Qty2]],"},priceMultiplier:0.05f,maxUses:",Table2[[#This Row],[MaxUses]],"}")</f>
        <v>{buy:{id:"minecraft:emerald",count:},sell:{id:"",count:},priceMultiplier:0.05f,maxUses:}</v>
      </c>
    </row>
    <row r="10" spans="1:8" x14ac:dyDescent="0.25">
      <c r="A10" t="s">
        <v>13</v>
      </c>
      <c r="G10" t="e">
        <f>F10/MIN(Table2[% Chance])</f>
        <v>#DIV/0!</v>
      </c>
      <c r="H10" t="str">
        <f>CONCATENATE("{buy:{id:""",Table2[[#This Row],[Buy]],""",count:",Table2[[#This Row],[Qty]],"},sell:{id:""",Table2[[#This Row],[Sell]],""",count:",Table2[[#This Row],[Qty2]],"},priceMultiplier:0.05f,maxUses:",Table2[[#This Row],[MaxUses]],"}")</f>
        <v>{buy:{id:"minecraft:emerald",count:},sell:{id:"",count:},priceMultiplier:0.05f,maxUses:}</v>
      </c>
    </row>
    <row r="11" spans="1:8" x14ac:dyDescent="0.25">
      <c r="A11" t="s">
        <v>13</v>
      </c>
      <c r="G11" t="e">
        <f>F11/MIN(Table2[% Chance])</f>
        <v>#DIV/0!</v>
      </c>
      <c r="H11" t="str">
        <f>CONCATENATE("{buy:{id:""",Table2[[#This Row],[Buy]],""",count:",Table2[[#This Row],[Qty]],"},sell:{id:""",Table2[[#This Row],[Sell]],""",count:",Table2[[#This Row],[Qty2]],"},priceMultiplier:0.05f,maxUses:",Table2[[#This Row],[MaxUses]],"}")</f>
        <v>{buy:{id:"minecraft:emerald",count:},sell:{id:"",count:},priceMultiplier:0.05f,maxUses:}</v>
      </c>
    </row>
    <row r="12" spans="1:8" x14ac:dyDescent="0.25">
      <c r="A12" t="s">
        <v>13</v>
      </c>
      <c r="G12" t="e">
        <f>F12/MIN(Table2[% Chance])</f>
        <v>#DIV/0!</v>
      </c>
      <c r="H12" t="str">
        <f>CONCATENATE("{buy:{id:""",Table2[[#This Row],[Buy]],""",count:",Table2[[#This Row],[Qty]],"},sell:{id:""",Table2[[#This Row],[Sell]],""",count:",Table2[[#This Row],[Qty2]],"},priceMultiplier:0.05f,maxUses:",Table2[[#This Row],[MaxUses]],"}")</f>
        <v>{buy:{id:"minecraft:emerald",count:},sell:{id:"",count:},priceMultiplier:0.05f,maxUses:}</v>
      </c>
    </row>
    <row r="13" spans="1:8" x14ac:dyDescent="0.25">
      <c r="A13" t="s">
        <v>13</v>
      </c>
      <c r="G13" t="e">
        <f>F13/MIN(Table2[% Chance])</f>
        <v>#DIV/0!</v>
      </c>
      <c r="H13" t="str">
        <f>CONCATENATE("{buy:{id:""",Table2[[#This Row],[Buy]],""",count:",Table2[[#This Row],[Qty]],"},sell:{id:""",Table2[[#This Row],[Sell]],""",count:",Table2[[#This Row],[Qty2]],"},priceMultiplier:0.05f,maxUses:",Table2[[#This Row],[MaxUses]],"}")</f>
        <v>{buy:{id:"minecraft:emerald",count:},sell:{id:"",count:},priceMultiplier:0.05f,maxUses:}</v>
      </c>
    </row>
    <row r="14" spans="1:8" x14ac:dyDescent="0.25">
      <c r="A14" t="s">
        <v>13</v>
      </c>
      <c r="G14" t="e">
        <f>F14/MIN(Table2[% Chance])</f>
        <v>#DIV/0!</v>
      </c>
      <c r="H14" t="str">
        <f>CONCATENATE("{buy:{id:""",Table2[[#This Row],[Buy]],""",count:",Table2[[#This Row],[Qty]],"},sell:{id:""",Table2[[#This Row],[Sell]],""",count:",Table2[[#This Row],[Qty2]],"},priceMultiplier:0.05f,maxUses:",Table2[[#This Row],[MaxUses]],"}")</f>
        <v>{buy:{id:"minecraft:emerald",count:},sell:{id:"",count:},priceMultiplier:0.05f,maxUses:}</v>
      </c>
    </row>
    <row r="15" spans="1:8" x14ac:dyDescent="0.25">
      <c r="A15" t="s">
        <v>13</v>
      </c>
      <c r="G15" t="e">
        <f>F15/MIN(Table2[% Chance])</f>
        <v>#DIV/0!</v>
      </c>
      <c r="H15" t="str">
        <f>CONCATENATE("{buy:{id:""",Table2[[#This Row],[Buy]],""",count:",Table2[[#This Row],[Qty]],"},sell:{id:""",Table2[[#This Row],[Sell]],""",count:",Table2[[#This Row],[Qty2]],"},priceMultiplier:0.05f,maxUses:",Table2[[#This Row],[MaxUses]],"}")</f>
        <v>{buy:{id:"minecraft:emerald",count:},sell:{id:"",count:},priceMultiplier:0.05f,maxUses:}</v>
      </c>
    </row>
    <row r="16" spans="1:8" x14ac:dyDescent="0.25">
      <c r="A16" t="s">
        <v>13</v>
      </c>
      <c r="G16" t="e">
        <f>F16/MIN(Table2[% Chance])</f>
        <v>#DIV/0!</v>
      </c>
      <c r="H16" t="str">
        <f>CONCATENATE("{buy:{id:""",Table2[[#This Row],[Buy]],""",count:",Table2[[#This Row],[Qty]],"},sell:{id:""",Table2[[#This Row],[Sell]],""",count:",Table2[[#This Row],[Qty2]],"},priceMultiplier:0.05f,maxUses:",Table2[[#This Row],[MaxUses]],"}")</f>
        <v>{buy:{id:"minecraft:emerald",count:},sell:{id:"",count:},priceMultiplier:0.05f,maxUses:}</v>
      </c>
    </row>
    <row r="17" spans="1:8" x14ac:dyDescent="0.25">
      <c r="A17" t="s">
        <v>13</v>
      </c>
      <c r="G17" t="e">
        <f>F17/MIN(Table2[% Chance])</f>
        <v>#DIV/0!</v>
      </c>
      <c r="H17" t="str">
        <f>CONCATENATE("{buy:{id:""",Table2[[#This Row],[Buy]],""",count:",Table2[[#This Row],[Qty]],"},sell:{id:""",Table2[[#This Row],[Sell]],""",count:",Table2[[#This Row],[Qty2]],"},priceMultiplier:0.05f,maxUses:",Table2[[#This Row],[MaxUses]],"}")</f>
        <v>{buy:{id:"minecraft:emerald",count:},sell:{id:"",count:},priceMultiplier:0.05f,maxUses:}</v>
      </c>
    </row>
    <row r="18" spans="1:8" x14ac:dyDescent="0.25">
      <c r="A18" t="s">
        <v>13</v>
      </c>
      <c r="G18" t="e">
        <f>F18/MIN(Table2[% Chance])</f>
        <v>#DIV/0!</v>
      </c>
      <c r="H18" t="str">
        <f>CONCATENATE("{buy:{id:""",Table2[[#This Row],[Buy]],""",count:",Table2[[#This Row],[Qty]],"},sell:{id:""",Table2[[#This Row],[Sell]],""",count:",Table2[[#This Row],[Qty2]],"},priceMultiplier:0.05f,maxUses:",Table2[[#This Row],[MaxUses]],"}")</f>
        <v>{buy:{id:"minecraft:emerald",count:},sell:{id:"",count:},priceMultiplier:0.05f,maxUses:}</v>
      </c>
    </row>
    <row r="19" spans="1:8" x14ac:dyDescent="0.25">
      <c r="A19" t="s">
        <v>13</v>
      </c>
      <c r="G19" t="e">
        <f>F19/MIN(Table2[% Chance])</f>
        <v>#DIV/0!</v>
      </c>
      <c r="H19" t="str">
        <f>CONCATENATE("{buy:{id:""",Table2[[#This Row],[Buy]],""",count:",Table2[[#This Row],[Qty]],"},sell:{id:""",Table2[[#This Row],[Sell]],""",count:",Table2[[#This Row],[Qty2]],"},priceMultiplier:0.05f,maxUses:",Table2[[#This Row],[MaxUses]],"}")</f>
        <v>{buy:{id:"minecraft:emerald",count:},sell:{id:"",count:},priceMultiplier:0.05f,maxUses:}</v>
      </c>
    </row>
    <row r="20" spans="1:8" x14ac:dyDescent="0.25">
      <c r="A20" t="s">
        <v>13</v>
      </c>
      <c r="G20" t="e">
        <f>F20/MIN(Table2[% Chance])</f>
        <v>#DIV/0!</v>
      </c>
      <c r="H20" t="str">
        <f>CONCATENATE("{buy:{id:""",Table2[[#This Row],[Buy]],""",count:",Table2[[#This Row],[Qty]],"},sell:{id:""",Table2[[#This Row],[Sell]],""",count:",Table2[[#This Row],[Qty2]],"},priceMultiplier:0.05f,maxUses:",Table2[[#This Row],[MaxUses]],"}")</f>
        <v>{buy:{id:"minecraft:emerald",count:},sell:{id:"",count:},priceMultiplier:0.05f,maxUses:}</v>
      </c>
    </row>
    <row r="21" spans="1:8" x14ac:dyDescent="0.25">
      <c r="A21" t="s">
        <v>6</v>
      </c>
      <c r="F21">
        <f>SUBTOTAL(109,Table2[% Chance])</f>
        <v>0</v>
      </c>
      <c r="G21" t="e">
        <f>SUBTOTAL(109,Table2[Weight])</f>
        <v>#DIV/0!</v>
      </c>
    </row>
  </sheetData>
  <phoneticPr fontId="1" type="noConversion"/>
  <conditionalFormatting sqref="F21">
    <cfRule type="cellIs" dxfId="0" priority="1" operator="notEqual">
      <formula>100</formula>
    </cfRule>
    <cfRule type="cellIs" dxfId="1" priority="2" operator="equal">
      <formula>100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Buy</vt:lpstr>
      <vt:lpstr>Blocks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Gianluca Oppedisano</dc:creator>
  <cp:lastModifiedBy>Gianluca Oppedisano</cp:lastModifiedBy>
  <dcterms:created xsi:type="dcterms:W3CDTF">2025-11-15T02:03:27Z</dcterms:created>
  <dcterms:modified xsi:type="dcterms:W3CDTF">2025-11-15T03:05:51Z</dcterms:modified>
</cp:coreProperties>
</file>