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ano\Documents\GitHub\RandomsWanderingTraders\"/>
    </mc:Choice>
  </mc:AlternateContent>
  <xr:revisionPtr revIDLastSave="0" documentId="13_ncr:1_{20867A96-E899-4451-9AF1-7C83D429394D}" xr6:coauthVersionLast="47" xr6:coauthVersionMax="47" xr10:uidLastSave="{00000000-0000-0000-0000-000000000000}"/>
  <bookViews>
    <workbookView xWindow="-108" yWindow="-108" windowWidth="23256" windowHeight="12456" activeTab="1" xr2:uid="{C8DB8A36-DE16-45E1-B046-5BCE4EFF0776}"/>
  </bookViews>
  <sheets>
    <sheet name="1" sheetId="2" r:id="rId1"/>
    <sheet name="2" sheetId="4" r:id="rId2"/>
    <sheet name="3" sheetId="3" r:id="rId3"/>
    <sheet name="4" sheetId="1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4" l="1"/>
  <c r="H17" i="4"/>
  <c r="I17" i="4"/>
  <c r="F18" i="4"/>
  <c r="H18" i="4"/>
  <c r="I18" i="4"/>
  <c r="F19" i="4"/>
  <c r="H19" i="4"/>
  <c r="I19" i="4"/>
  <c r="F20" i="4"/>
  <c r="H20" i="4"/>
  <c r="I20" i="4"/>
  <c r="F21" i="4"/>
  <c r="H21" i="4"/>
  <c r="I21" i="4"/>
  <c r="F22" i="4"/>
  <c r="H22" i="4"/>
  <c r="I22" i="4"/>
  <c r="F23" i="4"/>
  <c r="H23" i="4"/>
  <c r="I23" i="4"/>
  <c r="F24" i="4"/>
  <c r="H24" i="4"/>
  <c r="I24" i="4"/>
  <c r="F25" i="4"/>
  <c r="H25" i="4"/>
  <c r="I25" i="4"/>
  <c r="F26" i="4"/>
  <c r="H26" i="4"/>
  <c r="I26" i="4"/>
  <c r="F27" i="4"/>
  <c r="H27" i="4"/>
  <c r="I27" i="4"/>
  <c r="F28" i="4"/>
  <c r="H28" i="4"/>
  <c r="I28" i="4"/>
  <c r="G30" i="4"/>
  <c r="I29" i="4"/>
  <c r="H29" i="4"/>
  <c r="F29" i="4"/>
  <c r="I15" i="4"/>
  <c r="H15" i="4"/>
  <c r="F15" i="4"/>
  <c r="I14" i="4"/>
  <c r="H14" i="4"/>
  <c r="F14" i="4"/>
  <c r="I2" i="4"/>
  <c r="H2" i="4"/>
  <c r="F2" i="4"/>
  <c r="I12" i="4"/>
  <c r="H12" i="4"/>
  <c r="F12" i="4"/>
  <c r="I10" i="4"/>
  <c r="H10" i="4"/>
  <c r="F10" i="4"/>
  <c r="I7" i="4"/>
  <c r="H7" i="4"/>
  <c r="F7" i="4"/>
  <c r="I5" i="4"/>
  <c r="H5" i="4"/>
  <c r="F5" i="4"/>
  <c r="I8" i="4"/>
  <c r="H8" i="4"/>
  <c r="F8" i="4"/>
  <c r="I9" i="4"/>
  <c r="H9" i="4"/>
  <c r="F9" i="4"/>
  <c r="I6" i="4"/>
  <c r="H6" i="4"/>
  <c r="F6" i="4"/>
  <c r="I13" i="4"/>
  <c r="H13" i="4"/>
  <c r="F13" i="4"/>
  <c r="I11" i="4"/>
  <c r="H11" i="4"/>
  <c r="F11" i="4"/>
  <c r="I3" i="4"/>
  <c r="H3" i="4"/>
  <c r="F3" i="4"/>
  <c r="I16" i="4"/>
  <c r="H16" i="4"/>
  <c r="F16" i="4"/>
  <c r="I4" i="4"/>
  <c r="H4" i="4"/>
  <c r="H30" i="4" s="1"/>
  <c r="F4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F14" i="3"/>
  <c r="F13" i="3"/>
  <c r="F12" i="3"/>
  <c r="F11" i="3"/>
  <c r="F10" i="3"/>
  <c r="F9" i="3"/>
  <c r="F8" i="3"/>
  <c r="F7" i="3"/>
  <c r="F6" i="3"/>
  <c r="F5" i="3"/>
  <c r="F4" i="3"/>
  <c r="F3" i="3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F2" i="3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2" i="2"/>
  <c r="F3" i="2"/>
  <c r="I14" i="3"/>
  <c r="I13" i="3"/>
  <c r="I12" i="3"/>
  <c r="I11" i="3"/>
  <c r="I10" i="3"/>
  <c r="I9" i="3"/>
  <c r="I8" i="3"/>
  <c r="I7" i="3"/>
  <c r="I6" i="3"/>
  <c r="I5" i="3"/>
  <c r="I4" i="3"/>
  <c r="I3" i="3"/>
  <c r="I2" i="3"/>
  <c r="G21" i="1"/>
  <c r="G1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2" i="2"/>
  <c r="I3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4" i="1"/>
  <c r="H3" i="1"/>
  <c r="H2" i="1"/>
  <c r="H14" i="3" l="1"/>
  <c r="H3" i="3"/>
  <c r="H6" i="3"/>
  <c r="H9" i="3"/>
  <c r="H12" i="3"/>
  <c r="G15" i="3"/>
  <c r="H7" i="3"/>
  <c r="H2" i="3"/>
  <c r="H11" i="3"/>
  <c r="H13" i="3"/>
  <c r="H10" i="3"/>
  <c r="H4" i="3"/>
  <c r="H5" i="3"/>
  <c r="H8" i="3"/>
  <c r="H19" i="2"/>
  <c r="H21" i="1"/>
  <c r="H15" i="3" l="1"/>
</calcChain>
</file>

<file path=xl/sharedStrings.xml><?xml version="1.0" encoding="utf-8"?>
<sst xmlns="http://schemas.openxmlformats.org/spreadsheetml/2006/main" count="149" uniqueCount="52">
  <si>
    <t>Weight</t>
  </si>
  <si>
    <t>% Chance</t>
  </si>
  <si>
    <t>Sell</t>
  </si>
  <si>
    <t>Buy</t>
  </si>
  <si>
    <t>Qty</t>
  </si>
  <si>
    <t>Qty2</t>
  </si>
  <si>
    <t>Total</t>
  </si>
  <si>
    <t>MaxUses</t>
  </si>
  <si>
    <t>json</t>
  </si>
  <si>
    <t>minecraft:coal</t>
  </si>
  <si>
    <t>minecraft:wheat</t>
  </si>
  <si>
    <t>minecraft:torch</t>
  </si>
  <si>
    <t>minecraft:bread</t>
  </si>
  <si>
    <t>minecraft:emerald</t>
  </si>
  <si>
    <t>minecraft:mycelium</t>
  </si>
  <si>
    <t>minecraft:hay_block</t>
  </si>
  <si>
    <t>minecraft:baked_potato</t>
  </si>
  <si>
    <t>minecraft:dirt</t>
  </si>
  <si>
    <t>minecraft:blue_ice</t>
  </si>
  <si>
    <t>minecraft:podzol</t>
  </si>
  <si>
    <t>minecraft:gunpowder</t>
  </si>
  <si>
    <t>minecraft:oak_log</t>
  </si>
  <si>
    <t>minecraft:spruce_log</t>
  </si>
  <si>
    <t>minecraft:birch_log</t>
  </si>
  <si>
    <t>minecraft:jungle_log</t>
  </si>
  <si>
    <t>minecraft:dark_oak_log</t>
  </si>
  <si>
    <t>minecraft:acacia_log</t>
  </si>
  <si>
    <t>minecraft:cherry_log</t>
  </si>
  <si>
    <t>minecraft:mangrove_log</t>
  </si>
  <si>
    <t>minecraft:pale_oak_log</t>
  </si>
  <si>
    <t>minecraft:pumpkin</t>
  </si>
  <si>
    <t>Description</t>
  </si>
  <si>
    <t>minecraft:cobblestone</t>
  </si>
  <si>
    <t>minecraft:stone</t>
  </si>
  <si>
    <t>minecraft:oak_planks</t>
  </si>
  <si>
    <t>minecraft:</t>
  </si>
  <si>
    <t>minecraft:spruce_planks</t>
  </si>
  <si>
    <t>minecraft:birch_planks</t>
  </si>
  <si>
    <t>minecraft:jungle_planks</t>
  </si>
  <si>
    <t>minecraft:dark_oak_planks</t>
  </si>
  <si>
    <t>minecraft:acacia_planks</t>
  </si>
  <si>
    <t>minecraft:cherry_planks</t>
  </si>
  <si>
    <t>minecraft:mangrove_planks</t>
  </si>
  <si>
    <t>minecraft:pale_oak_planks</t>
  </si>
  <si>
    <t>minecraft:gravel</t>
  </si>
  <si>
    <t>minecraft:flint</t>
  </si>
  <si>
    <t>minecraft:wheat_seeds</t>
  </si>
  <si>
    <t>minecraft:pumpkin_pie</t>
  </si>
  <si>
    <t>minecraft:rotten_flesh</t>
  </si>
  <si>
    <t>minecraft:leather</t>
  </si>
  <si>
    <t>minecraft:clay_ball</t>
  </si>
  <si>
    <t>minecraft:brick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</si>
</sst>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8"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1" formatCode="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40DE66-9AC5-4103-9FAF-C11754033471}" name="Table24" displayName="Table24" ref="A1:I19" totalsRowCount="1">
  <autoFilter ref="A1:I18" xr:uid="{0D9AF196-E1D1-4BD8-9CED-12CAD782B454}"/>
  <sortState xmlns:xlrd2="http://schemas.microsoft.com/office/spreadsheetml/2017/richdata2" ref="A2:I18">
    <sortCondition ref="A1:A18"/>
  </sortState>
  <tableColumns count="9">
    <tableColumn id="1" xr3:uid="{CAB48374-3AB3-461F-BF06-0E763865AA7B}" name="Buy" totalsRowLabel="Total"/>
    <tableColumn id="2" xr3:uid="{64C7D015-0251-44C5-ADE8-84BCF2934592}" name="Qty"/>
    <tableColumn id="3" xr3:uid="{7727219A-31E8-4EBA-B3FB-82E4D8C68564}" name="Sell"/>
    <tableColumn id="4" xr3:uid="{2CD86B2D-4495-4D86-82D3-48DAC2530A3B}" name="Qty2"/>
    <tableColumn id="7" xr3:uid="{5706E6CD-A8DE-465C-A988-8358EDE5E2DD}" name="MaxUses"/>
    <tableColumn id="9" xr3:uid="{AB4A5286-4201-40CB-8F1C-FCB35E6646B5}" name="Description"/>
    <tableColumn id="5" xr3:uid="{9BE14FD2-CCE2-40E2-A818-FDACE557CB35}" name="% Chance" totalsRowFunction="sum"/>
    <tableColumn id="6" xr3:uid="{ADD54FD4-7999-4229-9339-F5E43F174EBC}" name="Weight" totalsRowFunction="sum" dataDxfId="17">
      <calculatedColumnFormula>G2/MIN(Table24[% Chance])</calculatedColumnFormula>
    </tableColumn>
    <tableColumn id="8" xr3:uid="{480C38A0-3BEE-44D4-931E-B342E36E1045}" name="json" dataDxfId="16">
      <calculatedColumnFormula>CONCATENATE("{buy: { id: """,Table24[[#This Row],[Buy]],""", count: ",Table24[[#This Row],[Qty]]," },sell: { id: """,Table24[[#This Row],[Sell]],""", count: ",Table24[[#This Row],[Qty2]]," },priceMultiplier: 0.05f,maxUses: ",Table24[[#This Row],[MaxUses]],"}")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4AACD0-04B4-4354-86E0-B138E1AB63B8}" name="Table245" displayName="Table245" ref="A1:I30" totalsRowCount="1">
  <autoFilter ref="A1:I29" xr:uid="{0D9AF196-E1D1-4BD8-9CED-12CAD782B454}"/>
  <sortState xmlns:xlrd2="http://schemas.microsoft.com/office/spreadsheetml/2017/richdata2" ref="A2:I29">
    <sortCondition ref="E1:E29"/>
  </sortState>
  <tableColumns count="9">
    <tableColumn id="1" xr3:uid="{572A1155-93E7-4B3F-8646-C5520C31A0FA}" name="Buy" totalsRowLabel="Total"/>
    <tableColumn id="2" xr3:uid="{12999E59-C525-4009-91F2-C3E880AE75D7}" name="Qty"/>
    <tableColumn id="3" xr3:uid="{704F736D-A5DD-4B9F-919C-4A1E39B61A54}" name="Sell"/>
    <tableColumn id="4" xr3:uid="{31DCC4E9-7885-42E7-9AE8-6E910A2C3171}" name="Qty2"/>
    <tableColumn id="7" xr3:uid="{7C932E62-B244-44C8-ABAD-A886F342ED0A}" name="MaxUses"/>
    <tableColumn id="9" xr3:uid="{5931078A-588E-4061-86E9-D6FB67706B69}" name="Description">
      <calculatedColumnFormula>CONCATENATE("Up to ",Table245[[#This Row],[MaxUses]]*Table245[[#This Row],[Qty2]]," ",Table245[[#This Row],[Sell]]," for ",Table245[[#This Row],[MaxUses]]*Table245[[#This Row],[Qty]]," ",Table245[[#This Row],[Buy]])</calculatedColumnFormula>
    </tableColumn>
    <tableColumn id="5" xr3:uid="{E76AE3C2-B87C-4055-822A-64FBF1443376}" name="% Chance" totalsRowFunction="sum"/>
    <tableColumn id="6" xr3:uid="{A4237F9A-0CEB-454A-85F5-F5ACD1600812}" name="Weight" totalsRowFunction="sum" dataDxfId="9">
      <calculatedColumnFormula>G2/MIN(Table245[% Chance])</calculatedColumnFormula>
    </tableColumn>
    <tableColumn id="8" xr3:uid="{0E2FBDD6-B08A-493A-816E-B59E89669AEB}" name="json" dataDxfId="8">
      <calculatedColumnFormula>CONCATENATE("{buy:{id:""",Table245[[#This Row],[Buy]],""",count:",Table245[[#This Row],[Qty]],"},sell:{id:""",Table245[[#This Row],[Sell]],""",count:",Table245[[#This Row],[Qty2]],"},priceMultiplier:0.05f,maxUses:",Table245[[#This Row],[MaxUses]],"}")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F0DBB5-2404-415A-8BDC-5011204A1E56}" name="Table22" displayName="Table22" ref="A1:I15" totalsRowCount="1">
  <autoFilter ref="A1:I14" xr:uid="{0D9AF196-E1D1-4BD8-9CED-12CAD782B454}"/>
  <tableColumns count="9">
    <tableColumn id="1" xr3:uid="{9F35254F-612C-474E-8624-59E109DCF81D}" name="Buy" totalsRowLabel="Total"/>
    <tableColumn id="2" xr3:uid="{B9ADBE1E-3DBF-4CC4-87A0-2749D834D340}" name="Qty"/>
    <tableColumn id="3" xr3:uid="{F5B1C06C-39D4-40A7-9361-C1A2AD85683D}" name="Sell"/>
    <tableColumn id="4" xr3:uid="{1BA3DA82-6201-4818-89EA-86ABCF70386E}" name="Qty2"/>
    <tableColumn id="7" xr3:uid="{BD834DE6-6B19-4610-B20E-602E321E7089}" name="MaxUses"/>
    <tableColumn id="9" xr3:uid="{0B701356-9BF6-4B44-82D8-7F7AC598C680}" name="Description"/>
    <tableColumn id="5" xr3:uid="{03EDCA14-D768-4041-A985-767C943AC248}" name="% Chance" totalsRowFunction="sum" dataDxfId="11" totalsRowDxfId="10"/>
    <tableColumn id="6" xr3:uid="{3A7D780E-AA6B-4D78-AE8F-44333C2D9578}" name="Weight" totalsRowFunction="sum" dataDxfId="12">
      <calculatedColumnFormula>G2/MIN(Table22[% Chance])</calculatedColumnFormula>
    </tableColumn>
    <tableColumn id="8" xr3:uid="{ED95D561-F455-4A26-8852-74CC4EB05D2D}" name="json" dataDxfId="13">
      <calculatedColumnFormula>CONCATENATE("{buy:{id:""",Table22[[#This Row],[Buy]],""",count:",Table22[[#This Row],[Qty]],"},sell:{id:""",Table22[[#This Row],[Sell]],""",count:",Table22[[#This Row],[Qty2]],"},priceMultiplier:0.05f,maxUses:",Table22[[#This Row],[MaxUses]],"}")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9AF196-E1D1-4BD8-9CED-12CAD782B454}" name="Table2" displayName="Table2" ref="A1:I21" totalsRowCount="1">
  <autoFilter ref="A1:I20" xr:uid="{0D9AF196-E1D1-4BD8-9CED-12CAD782B454}"/>
  <tableColumns count="9">
    <tableColumn id="1" xr3:uid="{4358E322-4D0E-417C-89BD-AECF8A939886}" name="Buy" totalsRowLabel="Total"/>
    <tableColumn id="2" xr3:uid="{B4626EC8-7F2E-477E-896F-375D7C37C0DC}" name="Qty"/>
    <tableColumn id="3" xr3:uid="{6EA4B8B9-703F-4267-A99F-900BAB267923}" name="Sell"/>
    <tableColumn id="4" xr3:uid="{91D44B0F-1594-464E-B145-D0C86F9736B7}" name="Qty2"/>
    <tableColumn id="7" xr3:uid="{77DF8F6F-F8C3-4C89-A116-EFA8BA650E5E}" name="MaxUses"/>
    <tableColumn id="9" xr3:uid="{63DC7993-D607-4576-AAA0-864C0588FB7F}" name="Description"/>
    <tableColumn id="5" xr3:uid="{50C4BF3F-DBA8-41CB-9E13-F51C58477E90}" name="% Chance" totalsRowFunction="sum"/>
    <tableColumn id="6" xr3:uid="{8B5629A2-D744-433E-BCE4-8077DBDF2A5E}" name="Weight" totalsRowFunction="sum" dataDxfId="15">
      <calculatedColumnFormula>G2/MIN(Table2[% Chance])</calculatedColumnFormula>
    </tableColumn>
    <tableColumn id="8" xr3:uid="{2B3EED1E-5BD9-4525-A4A7-AC476B511DD8}" name="json" dataDxfId="14">
      <calculatedColumnFormula>CONCATENATE("{buy:{id:""",Table2[[#This Row],[Buy]],""",count:",Table2[[#This Row],[Qty]],"},sell:{id:""",Table2[[#This Row],[Sell]],""",count:",Table2[[#This Row],[Qty2]],"},priceMultiplier:0.05f,maxUses:",Table2[[#This Row],[MaxUses]],"}")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87E88-D128-4597-AD85-17977AEA3718}">
  <dimension ref="A1:I19"/>
  <sheetViews>
    <sheetView zoomScale="120" zoomScaleNormal="120" workbookViewId="0">
      <selection activeCell="A5" sqref="A5"/>
    </sheetView>
  </sheetViews>
  <sheetFormatPr defaultRowHeight="14.4" x14ac:dyDescent="0.3"/>
  <cols>
    <col min="1" max="1" width="21.109375" bestFit="1" customWidth="1"/>
    <col min="2" max="2" width="6.21875" bestFit="1" customWidth="1"/>
    <col min="3" max="3" width="16.33203125" bestFit="1" customWidth="1"/>
    <col min="4" max="4" width="7.21875" bestFit="1" customWidth="1"/>
    <col min="5" max="5" width="10.77734375" bestFit="1" customWidth="1"/>
    <col min="6" max="6" width="49.6640625" bestFit="1" customWidth="1"/>
    <col min="7" max="7" width="11.33203125" bestFit="1" customWidth="1"/>
    <col min="8" max="8" width="9.21875" bestFit="1" customWidth="1"/>
    <col min="9" max="9" width="97.33203125" bestFit="1" customWidth="1"/>
  </cols>
  <sheetData>
    <row r="1" spans="1:9" x14ac:dyDescent="0.3">
      <c r="A1" t="s">
        <v>3</v>
      </c>
      <c r="B1" t="s">
        <v>4</v>
      </c>
      <c r="C1" t="s">
        <v>2</v>
      </c>
      <c r="D1" t="s">
        <v>5</v>
      </c>
      <c r="E1" t="s">
        <v>7</v>
      </c>
      <c r="F1" t="s">
        <v>31</v>
      </c>
      <c r="G1" t="s">
        <v>1</v>
      </c>
      <c r="H1" t="s">
        <v>0</v>
      </c>
      <c r="I1" t="s">
        <v>8</v>
      </c>
    </row>
    <row r="2" spans="1:9" x14ac:dyDescent="0.3">
      <c r="A2" t="s">
        <v>16</v>
      </c>
      <c r="B2">
        <v>4</v>
      </c>
      <c r="C2" t="s">
        <v>13</v>
      </c>
      <c r="D2">
        <v>1</v>
      </c>
      <c r="E2">
        <v>4</v>
      </c>
      <c r="F2" t="str">
        <f>CONCATENATE("Up to ",Table24[[#This Row],[MaxUses]]*Table24[[#This Row],[Qty2]]," ",Table24[[#This Row],[Sell]]," for ",Table24[[#This Row],[MaxUses]]*Table24[[#This Row],[Qty]]," ",Table24[[#This Row],[Buy]])</f>
        <v>Up to 4 minecraft:emerald for 16 minecraft:baked_potato</v>
      </c>
      <c r="H2" t="e">
        <f>G2/MIN(Table24[% Chance])</f>
        <v>#DIV/0!</v>
      </c>
      <c r="I2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{buy:{id:"minecraft:baked_potato",count:4},sell:{id:"minecraft:emerald",count:1},priceMultiplier:0.05f,maxUses:4}</v>
      </c>
    </row>
    <row r="3" spans="1:9" x14ac:dyDescent="0.3">
      <c r="A3" t="s">
        <v>15</v>
      </c>
      <c r="B3">
        <v>1</v>
      </c>
      <c r="C3" t="s">
        <v>13</v>
      </c>
      <c r="D3">
        <v>1</v>
      </c>
      <c r="E3">
        <v>4</v>
      </c>
      <c r="F3" t="str">
        <f>CONCATENATE("Up to ",Table24[[#This Row],[MaxUses]]*Table24[[#This Row],[Qty2]]," ",Table24[[#This Row],[Sell]]," for ",Table24[[#This Row],[MaxUses]]*Table24[[#This Row],[Qty]]," ",Table24[[#This Row],[Buy]])</f>
        <v>Up to 4 minecraft:emerald for 4 minecraft:hay_block</v>
      </c>
      <c r="H3" t="e">
        <f>G3/MIN(Table24[% Chance])</f>
        <v>#DIV/0!</v>
      </c>
      <c r="I3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{buy:{id:"minecraft:hay_block",count:1},sell:{id:"minecraft:emerald",count:1},priceMultiplier:0.05f,maxUses:4}</v>
      </c>
    </row>
    <row r="4" spans="1:9" x14ac:dyDescent="0.3">
      <c r="A4" t="s">
        <v>30</v>
      </c>
      <c r="B4">
        <v>4</v>
      </c>
      <c r="C4" t="s">
        <v>13</v>
      </c>
      <c r="D4">
        <v>1</v>
      </c>
      <c r="E4">
        <v>8</v>
      </c>
      <c r="F4" t="str">
        <f>CONCATENATE("Up to ",Table24[[#This Row],[MaxUses]]*Table24[[#This Row],[Qty2]]," ",Table24[[#This Row],[Sell]]," for ",Table24[[#This Row],[MaxUses]]*Table24[[#This Row],[Qty]]," ",Table24[[#This Row],[Buy]])</f>
        <v>Up to 8 minecraft:emerald for 32 minecraft:pumpkin</v>
      </c>
      <c r="H4" t="e">
        <f>G4/MIN(Table24[% Chance])</f>
        <v>#DIV/0!</v>
      </c>
      <c r="I4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{buy:{id:"minecraft:pumpkin",count:4},sell:{id:"minecraft:emerald",count:1},priceMultiplier:0.05f,maxUses:8}</v>
      </c>
    </row>
    <row r="5" spans="1:9" x14ac:dyDescent="0.3">
      <c r="F5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5" t="e">
        <f>G5/MIN(Table24[% Chance])</f>
        <v>#DIV/0!</v>
      </c>
      <c r="I5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6" spans="1:9" x14ac:dyDescent="0.3">
      <c r="F6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6" t="e">
        <f>G6/MIN(Table24[% Chance])</f>
        <v>#DIV/0!</v>
      </c>
      <c r="I6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7" spans="1:9" x14ac:dyDescent="0.3">
      <c r="F7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7" t="e">
        <f>G7/MIN(Table24[% Chance])</f>
        <v>#DIV/0!</v>
      </c>
      <c r="I7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8" spans="1:9" x14ac:dyDescent="0.3">
      <c r="F8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8" t="e">
        <f>G8/MIN(Table24[% Chance])</f>
        <v>#DIV/0!</v>
      </c>
      <c r="I8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9" spans="1:9" x14ac:dyDescent="0.3">
      <c r="F9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9" t="e">
        <f>G9/MIN(Table24[% Chance])</f>
        <v>#DIV/0!</v>
      </c>
      <c r="I9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0" spans="1:9" x14ac:dyDescent="0.3">
      <c r="F10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0" t="e">
        <f>G10/MIN(Table24[% Chance])</f>
        <v>#DIV/0!</v>
      </c>
      <c r="I10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1" spans="1:9" x14ac:dyDescent="0.3">
      <c r="F11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1" t="e">
        <f>G11/MIN(Table24[% Chance])</f>
        <v>#DIV/0!</v>
      </c>
      <c r="I11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2" spans="1:9" x14ac:dyDescent="0.3">
      <c r="F12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2" t="e">
        <f>G12/MIN(Table24[% Chance])</f>
        <v>#DIV/0!</v>
      </c>
      <c r="I12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3" spans="1:9" x14ac:dyDescent="0.3">
      <c r="F13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3" t="e">
        <f>G13/MIN(Table24[% Chance])</f>
        <v>#DIV/0!</v>
      </c>
      <c r="I13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4" spans="1:9" x14ac:dyDescent="0.3">
      <c r="F14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4" t="e">
        <f>G14/MIN(Table24[% Chance])</f>
        <v>#DIV/0!</v>
      </c>
      <c r="I14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5" spans="1:9" x14ac:dyDescent="0.3">
      <c r="F15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5" t="e">
        <f>G15/MIN(Table24[% Chance])</f>
        <v>#DIV/0!</v>
      </c>
      <c r="I15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6" spans="1:9" x14ac:dyDescent="0.3">
      <c r="F16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6" t="e">
        <f>G16/MIN(Table24[% Chance])</f>
        <v>#DIV/0!</v>
      </c>
      <c r="I16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7" spans="1:9" x14ac:dyDescent="0.3">
      <c r="F17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7" t="e">
        <f>G17/MIN(Table24[% Chance])</f>
        <v>#DIV/0!</v>
      </c>
      <c r="I17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8" spans="1:9" x14ac:dyDescent="0.3">
      <c r="F18" t="str">
        <f>CONCATENATE("Up to ",Table24[[#This Row],[MaxUses]]*Table24[[#This Row],[Qty2]]," ",Table24[[#This Row],[Sell]]," for ",Table24[[#This Row],[MaxUses]]*Table24[[#This Row],[Qty]]," ",Table24[[#This Row],[Buy]])</f>
        <v xml:space="preserve">Up to 0  for 0 </v>
      </c>
      <c r="H18" t="e">
        <f>G18/MIN(Table24[% Chance])</f>
        <v>#DIV/0!</v>
      </c>
      <c r="I18" t="str">
        <f>CONCATENATE("{buy:{id:""",Table24[[#This Row],[Buy]],""",count:",Table24[[#This Row],[Qty]],"},sell:{id:""",Table24[[#This Row],[Sell]],""",count:",Table24[[#This Row],[Qty2]],"},priceMultiplier:0.05f,maxUses:",Table24[[#This Row],[MaxUses]],"}")</f>
        <v>{buy:{id:"",count:},sell:{id:"",count:},priceMultiplier:0.05f,maxUses:}</v>
      </c>
    </row>
    <row r="19" spans="1:9" x14ac:dyDescent="0.3">
      <c r="A19" t="s">
        <v>6</v>
      </c>
      <c r="G19">
        <f>SUBTOTAL(109,Table24[% Chance])</f>
        <v>0</v>
      </c>
      <c r="H19" t="e">
        <f>SUBTOTAL(109,Table24[Weight])</f>
        <v>#DIV/0!</v>
      </c>
    </row>
  </sheetData>
  <phoneticPr fontId="1" type="noConversion"/>
  <conditionalFormatting sqref="G19">
    <cfRule type="cellIs" dxfId="7" priority="1" operator="notEqual">
      <formula>100</formula>
    </cfRule>
    <cfRule type="cellIs" dxfId="6" priority="2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D9181-1F10-4D6B-9B01-9D308D9BE659}">
  <dimension ref="A1:I30"/>
  <sheetViews>
    <sheetView tabSelected="1" zoomScale="120" zoomScaleNormal="120" workbookViewId="0">
      <selection activeCell="A20" sqref="A20"/>
    </sheetView>
  </sheetViews>
  <sheetFormatPr defaultRowHeight="14.4" x14ac:dyDescent="0.3"/>
  <cols>
    <col min="1" max="1" width="24.88671875" bestFit="1" customWidth="1"/>
    <col min="2" max="2" width="6.21875" bestFit="1" customWidth="1"/>
    <col min="3" max="3" width="21.88671875" bestFit="1" customWidth="1"/>
    <col min="4" max="4" width="7.21875" bestFit="1" customWidth="1"/>
    <col min="5" max="5" width="10.77734375" bestFit="1" customWidth="1"/>
    <col min="6" max="6" width="58.77734375" bestFit="1" customWidth="1"/>
    <col min="7" max="7" width="11.33203125" bestFit="1" customWidth="1"/>
    <col min="8" max="8" width="9.21875" bestFit="1" customWidth="1"/>
    <col min="9" max="9" width="107.44140625" bestFit="1" customWidth="1"/>
  </cols>
  <sheetData>
    <row r="1" spans="1:9" x14ac:dyDescent="0.3">
      <c r="A1" t="s">
        <v>3</v>
      </c>
      <c r="B1" t="s">
        <v>4</v>
      </c>
      <c r="C1" t="s">
        <v>2</v>
      </c>
      <c r="D1" t="s">
        <v>5</v>
      </c>
      <c r="E1" t="s">
        <v>7</v>
      </c>
      <c r="F1" t="s">
        <v>31</v>
      </c>
      <c r="G1" t="s">
        <v>1</v>
      </c>
      <c r="H1" t="s">
        <v>0</v>
      </c>
      <c r="I1" t="s">
        <v>8</v>
      </c>
    </row>
    <row r="2" spans="1:9" x14ac:dyDescent="0.3">
      <c r="A2" t="s">
        <v>44</v>
      </c>
      <c r="B2">
        <v>2</v>
      </c>
      <c r="C2" t="s">
        <v>45</v>
      </c>
      <c r="D2">
        <v>1</v>
      </c>
      <c r="E2">
        <v>4</v>
      </c>
      <c r="F2" t="str">
        <f>CONCATENATE("Up to ",Table245[[#This Row],[MaxUses]]*Table245[[#This Row],[Qty2]]," ",Table245[[#This Row],[Sell]]," for ",Table245[[#This Row],[MaxUses]]*Table245[[#This Row],[Qty]]," ",Table245[[#This Row],[Buy]])</f>
        <v>Up to 4 minecraft:flint for 8 minecraft:gravel</v>
      </c>
      <c r="H2" t="e">
        <f>G2/MIN(Table245[% Chance])</f>
        <v>#DIV/0!</v>
      </c>
      <c r="I2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{buy:{id:"minecraft:gravel",count:2},sell:{id:"minecraft:flint",count:1},priceMultiplier:0.05f,maxUses:4}</v>
      </c>
    </row>
    <row r="3" spans="1:9" x14ac:dyDescent="0.3">
      <c r="A3" t="s">
        <v>32</v>
      </c>
      <c r="B3">
        <v>5</v>
      </c>
      <c r="C3" t="s">
        <v>33</v>
      </c>
      <c r="D3">
        <v>4</v>
      </c>
      <c r="E3">
        <v>4</v>
      </c>
      <c r="F3" t="str">
        <f>CONCATENATE("Up to ",Table245[[#This Row],[MaxUses]]*Table245[[#This Row],[Qty2]]," ",Table245[[#This Row],[Sell]]," for ",Table245[[#This Row],[MaxUses]]*Table245[[#This Row],[Qty]]," ",Table245[[#This Row],[Buy]])</f>
        <v>Up to 16 minecraft:stone for 20 minecraft:cobblestone</v>
      </c>
      <c r="H3" t="e">
        <f>G3/MIN(Table245[% Chance])</f>
        <v>#DIV/0!</v>
      </c>
      <c r="I3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{buy:{id:"minecraft:cobblestone",count:5},sell:{id:"minecraft:stone",count:4},priceMultiplier:0.05f,maxUses:4}</v>
      </c>
    </row>
    <row r="4" spans="1:9" x14ac:dyDescent="0.3">
      <c r="A4" t="s">
        <v>9</v>
      </c>
      <c r="B4">
        <v>1</v>
      </c>
      <c r="C4" t="s">
        <v>11</v>
      </c>
      <c r="D4">
        <v>8</v>
      </c>
      <c r="E4">
        <v>4</v>
      </c>
      <c r="F4" t="str">
        <f>CONCATENATE("Up to ",Table245[[#This Row],[MaxUses]]*Table245[[#This Row],[Qty2]]," ",Table245[[#This Row],[Sell]]," for ",Table245[[#This Row],[MaxUses]]*Table245[[#This Row],[Qty]]," ",Table245[[#This Row],[Buy]])</f>
        <v>Up to 32 minecraft:torch for 4 minecraft:coal</v>
      </c>
      <c r="H4" t="e">
        <f>G4/MIN(Table245[% Chance])</f>
        <v>#DIV/0!</v>
      </c>
      <c r="I4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{buy:{id:"minecraft:coal",count:1},sell:{id:"minecraft:torch",count:8},priceMultiplier:0.05f,maxUses:4}</v>
      </c>
    </row>
    <row r="5" spans="1:9" x14ac:dyDescent="0.3">
      <c r="A5" t="s">
        <v>40</v>
      </c>
      <c r="B5">
        <v>4</v>
      </c>
      <c r="C5" t="s">
        <v>26</v>
      </c>
      <c r="D5">
        <v>1</v>
      </c>
      <c r="E5">
        <v>8</v>
      </c>
      <c r="F5" t="str">
        <f>CONCATENATE("Up to ",Table245[[#This Row],[MaxUses]]*Table245[[#This Row],[Qty2]]," ",Table245[[#This Row],[Sell]]," for ",Table245[[#This Row],[MaxUses]]*Table245[[#This Row],[Qty]]," ",Table245[[#This Row],[Buy]])</f>
        <v>Up to 8 minecraft:acacia_log for 32 minecraft:acacia_planks</v>
      </c>
      <c r="H5" t="e">
        <f>G5/MIN(Table245[% Chance])</f>
        <v>#DIV/0!</v>
      </c>
      <c r="I5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{buy:{id:"minecraft:acacia_planks",count:4},sell:{id:"minecraft:acacia_log",count:1},priceMultiplier:0.05f,maxUses:8}</v>
      </c>
    </row>
    <row r="6" spans="1:9" x14ac:dyDescent="0.3">
      <c r="A6" t="s">
        <v>37</v>
      </c>
      <c r="B6">
        <v>4</v>
      </c>
      <c r="C6" t="s">
        <v>23</v>
      </c>
      <c r="D6">
        <v>1</v>
      </c>
      <c r="E6">
        <v>8</v>
      </c>
      <c r="F6" t="str">
        <f>CONCATENATE("Up to ",Table245[[#This Row],[MaxUses]]*Table245[[#This Row],[Qty2]]," ",Table245[[#This Row],[Sell]]," for ",Table245[[#This Row],[MaxUses]]*Table245[[#This Row],[Qty]]," ",Table245[[#This Row],[Buy]])</f>
        <v>Up to 8 minecraft:birch_log for 32 minecraft:birch_planks</v>
      </c>
      <c r="H6" t="e">
        <f>G6/MIN(Table245[% Chance])</f>
        <v>#DIV/0!</v>
      </c>
      <c r="I6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{buy:{id:"minecraft:birch_planks",count:4},sell:{id:"minecraft:birch_log",count:1},priceMultiplier:0.05f,maxUses:8}</v>
      </c>
    </row>
    <row r="7" spans="1:9" x14ac:dyDescent="0.3">
      <c r="A7" t="s">
        <v>41</v>
      </c>
      <c r="B7">
        <v>4</v>
      </c>
      <c r="C7" t="s">
        <v>27</v>
      </c>
      <c r="D7">
        <v>1</v>
      </c>
      <c r="E7">
        <v>8</v>
      </c>
      <c r="F7" t="str">
        <f>CONCATENATE("Up to ",Table245[[#This Row],[MaxUses]]*Table245[[#This Row],[Qty2]]," ",Table245[[#This Row],[Sell]]," for ",Table245[[#This Row],[MaxUses]]*Table245[[#This Row],[Qty]]," ",Table245[[#This Row],[Buy]])</f>
        <v>Up to 8 minecraft:cherry_log for 32 minecraft:cherry_planks</v>
      </c>
      <c r="H7" t="e">
        <f>G7/MIN(Table245[% Chance])</f>
        <v>#DIV/0!</v>
      </c>
      <c r="I7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{buy:{id:"minecraft:cherry_planks",count:4},sell:{id:"minecraft:cherry_log",count:1},priceMultiplier:0.05f,maxUses:8}</v>
      </c>
    </row>
    <row r="8" spans="1:9" x14ac:dyDescent="0.3">
      <c r="A8" t="s">
        <v>39</v>
      </c>
      <c r="B8">
        <v>4</v>
      </c>
      <c r="C8" t="s">
        <v>25</v>
      </c>
      <c r="D8">
        <v>1</v>
      </c>
      <c r="E8">
        <v>8</v>
      </c>
      <c r="F8" t="str">
        <f>CONCATENATE("Up to ",Table245[[#This Row],[MaxUses]]*Table245[[#This Row],[Qty2]]," ",Table245[[#This Row],[Sell]]," for ",Table245[[#This Row],[MaxUses]]*Table245[[#This Row],[Qty]]," ",Table245[[#This Row],[Buy]])</f>
        <v>Up to 8 minecraft:dark_oak_log for 32 minecraft:dark_oak_planks</v>
      </c>
      <c r="H8" t="e">
        <f>G8/MIN(Table245[% Chance])</f>
        <v>#DIV/0!</v>
      </c>
      <c r="I8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{buy:{id:"minecraft:dark_oak_planks",count:4},sell:{id:"minecraft:dark_oak_log",count:1},priceMultiplier:0.05f,maxUses:8}</v>
      </c>
    </row>
    <row r="9" spans="1:9" x14ac:dyDescent="0.3">
      <c r="A9" t="s">
        <v>38</v>
      </c>
      <c r="B9">
        <v>4</v>
      </c>
      <c r="C9" t="s">
        <v>24</v>
      </c>
      <c r="D9">
        <v>1</v>
      </c>
      <c r="E9">
        <v>8</v>
      </c>
      <c r="F9" t="str">
        <f>CONCATENATE("Up to ",Table245[[#This Row],[MaxUses]]*Table245[[#This Row],[Qty2]]," ",Table245[[#This Row],[Sell]]," for ",Table245[[#This Row],[MaxUses]]*Table245[[#This Row],[Qty]]," ",Table245[[#This Row],[Buy]])</f>
        <v>Up to 8 minecraft:jungle_log for 32 minecraft:jungle_planks</v>
      </c>
      <c r="H9" t="e">
        <f>G9/MIN(Table245[% Chance])</f>
        <v>#DIV/0!</v>
      </c>
      <c r="I9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{buy:{id:"minecraft:jungle_planks",count:4},sell:{id:"minecraft:jungle_log",count:1},priceMultiplier:0.05f,maxUses:8}</v>
      </c>
    </row>
    <row r="10" spans="1:9" x14ac:dyDescent="0.3">
      <c r="A10" t="s">
        <v>42</v>
      </c>
      <c r="B10">
        <v>4</v>
      </c>
      <c r="C10" t="s">
        <v>28</v>
      </c>
      <c r="D10">
        <v>1</v>
      </c>
      <c r="E10">
        <v>8</v>
      </c>
      <c r="F10" t="str">
        <f>CONCATENATE("Up to ",Table245[[#This Row],[MaxUses]]*Table245[[#This Row],[Qty2]]," ",Table245[[#This Row],[Sell]]," for ",Table245[[#This Row],[MaxUses]]*Table245[[#This Row],[Qty]]," ",Table245[[#This Row],[Buy]])</f>
        <v>Up to 8 minecraft:mangrove_log for 32 minecraft:mangrove_planks</v>
      </c>
      <c r="H10" t="e">
        <f>G10/MIN(Table245[% Chance])</f>
        <v>#DIV/0!</v>
      </c>
      <c r="I10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{buy:{id:"minecraft:mangrove_planks",count:4},sell:{id:"minecraft:mangrove_log",count:1},priceMultiplier:0.05f,maxUses:8}</v>
      </c>
    </row>
    <row r="11" spans="1:9" x14ac:dyDescent="0.3">
      <c r="A11" t="s">
        <v>34</v>
      </c>
      <c r="B11">
        <v>4</v>
      </c>
      <c r="C11" t="s">
        <v>21</v>
      </c>
      <c r="D11">
        <v>1</v>
      </c>
      <c r="E11">
        <v>8</v>
      </c>
      <c r="F11" t="str">
        <f>CONCATENATE("Up to ",Table245[[#This Row],[MaxUses]]*Table245[[#This Row],[Qty2]]," ",Table245[[#This Row],[Sell]]," for ",Table245[[#This Row],[MaxUses]]*Table245[[#This Row],[Qty]]," ",Table245[[#This Row],[Buy]])</f>
        <v>Up to 8 minecraft:oak_log for 32 minecraft:oak_planks</v>
      </c>
      <c r="H11" t="e">
        <f>G11/MIN(Table245[% Chance])</f>
        <v>#DIV/0!</v>
      </c>
      <c r="I11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{buy:{id:"minecraft:oak_planks",count:4},sell:{id:"minecraft:oak_log",count:1},priceMultiplier:0.05f,maxUses:8}</v>
      </c>
    </row>
    <row r="12" spans="1:9" x14ac:dyDescent="0.3">
      <c r="A12" t="s">
        <v>43</v>
      </c>
      <c r="B12">
        <v>4</v>
      </c>
      <c r="C12" t="s">
        <v>29</v>
      </c>
      <c r="D12">
        <v>1</v>
      </c>
      <c r="E12">
        <v>8</v>
      </c>
      <c r="F12" t="str">
        <f>CONCATENATE("Up to ",Table245[[#This Row],[MaxUses]]*Table245[[#This Row],[Qty2]]," ",Table245[[#This Row],[Sell]]," for ",Table245[[#This Row],[MaxUses]]*Table245[[#This Row],[Qty]]," ",Table245[[#This Row],[Buy]])</f>
        <v>Up to 8 minecraft:pale_oak_log for 32 minecraft:pale_oak_planks</v>
      </c>
      <c r="H12" t="e">
        <f>G12/MIN(Table245[% Chance])</f>
        <v>#DIV/0!</v>
      </c>
      <c r="I12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{buy:{id:"minecraft:pale_oak_planks",count:4},sell:{id:"minecraft:pale_oak_log",count:1},priceMultiplier:0.05f,maxUses:8}</v>
      </c>
    </row>
    <row r="13" spans="1:9" x14ac:dyDescent="0.3">
      <c r="A13" t="s">
        <v>36</v>
      </c>
      <c r="B13">
        <v>4</v>
      </c>
      <c r="C13" t="s">
        <v>22</v>
      </c>
      <c r="D13">
        <v>1</v>
      </c>
      <c r="E13">
        <v>8</v>
      </c>
      <c r="F13" t="str">
        <f>CONCATENATE("Up to ",Table245[[#This Row],[MaxUses]]*Table245[[#This Row],[Qty2]]," ",Table245[[#This Row],[Sell]]," for ",Table245[[#This Row],[MaxUses]]*Table245[[#This Row],[Qty]]," ",Table245[[#This Row],[Buy]])</f>
        <v>Up to 8 minecraft:spruce_log for 32 minecraft:spruce_planks</v>
      </c>
      <c r="H13" t="e">
        <f>G13/MIN(Table245[% Chance])</f>
        <v>#DIV/0!</v>
      </c>
      <c r="I13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{buy:{id:"minecraft:spruce_planks",count:4},sell:{id:"minecraft:spruce_log",count:1},priceMultiplier:0.05f,maxUses:8}</v>
      </c>
    </row>
    <row r="14" spans="1:9" x14ac:dyDescent="0.3">
      <c r="A14" t="s">
        <v>46</v>
      </c>
      <c r="B14">
        <v>8</v>
      </c>
      <c r="C14" t="s">
        <v>10</v>
      </c>
      <c r="D14">
        <v>1</v>
      </c>
      <c r="E14">
        <v>8</v>
      </c>
      <c r="F14" t="str">
        <f>CONCATENATE("Up to ",Table245[[#This Row],[MaxUses]]*Table245[[#This Row],[Qty2]]," ",Table245[[#This Row],[Sell]]," for ",Table245[[#This Row],[MaxUses]]*Table245[[#This Row],[Qty]]," ",Table245[[#This Row],[Buy]])</f>
        <v>Up to 8 minecraft:wheat for 64 minecraft:wheat_seeds</v>
      </c>
      <c r="H14" t="e">
        <f>G14/MIN(Table245[% Chance])</f>
        <v>#DIV/0!</v>
      </c>
      <c r="I14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{buy:{id:"minecraft:wheat_seeds",count:8},sell:{id:"minecraft:wheat",count:1},priceMultiplier:0.05f,maxUses:8}</v>
      </c>
    </row>
    <row r="15" spans="1:9" x14ac:dyDescent="0.3">
      <c r="A15" t="s">
        <v>30</v>
      </c>
      <c r="B15">
        <v>2</v>
      </c>
      <c r="C15" t="s">
        <v>47</v>
      </c>
      <c r="D15">
        <v>1</v>
      </c>
      <c r="E15">
        <v>8</v>
      </c>
      <c r="F15" t="str">
        <f>CONCATENATE("Up to ",Table245[[#This Row],[MaxUses]]*Table245[[#This Row],[Qty2]]," ",Table245[[#This Row],[Sell]]," for ",Table245[[#This Row],[MaxUses]]*Table245[[#This Row],[Qty]]," ",Table245[[#This Row],[Buy]])</f>
        <v>Up to 8 minecraft:pumpkin_pie for 16 minecraft:pumpkin</v>
      </c>
      <c r="H15" t="e">
        <f>G15/MIN(Table245[% Chance])</f>
        <v>#DIV/0!</v>
      </c>
      <c r="I15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{buy:{id:"minecraft:pumpkin",count:2},sell:{id:"minecraft:pumpkin_pie",count:1},priceMultiplier:0.05f,maxUses:8}</v>
      </c>
    </row>
    <row r="16" spans="1:9" x14ac:dyDescent="0.3">
      <c r="A16" t="s">
        <v>10</v>
      </c>
      <c r="B16">
        <v>2</v>
      </c>
      <c r="C16" t="s">
        <v>12</v>
      </c>
      <c r="D16">
        <v>1</v>
      </c>
      <c r="E16">
        <v>16</v>
      </c>
      <c r="F16" t="str">
        <f>CONCATENATE("Up to ",Table245[[#This Row],[MaxUses]]*Table245[[#This Row],[Qty2]]," ",Table245[[#This Row],[Sell]]," for ",Table245[[#This Row],[MaxUses]]*Table245[[#This Row],[Qty]]," ",Table245[[#This Row],[Buy]])</f>
        <v>Up to 16 minecraft:bread for 32 minecraft:wheat</v>
      </c>
      <c r="H16" t="e">
        <f>G16/MIN(Table245[% Chance])</f>
        <v>#DIV/0!</v>
      </c>
      <c r="I16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{buy:{id:"minecraft:wheat",count:2},sell:{id:"minecraft:bread",count:1},priceMultiplier:0.05f,maxUses:16}</v>
      </c>
    </row>
    <row r="17" spans="1:9" x14ac:dyDescent="0.3">
      <c r="A17" t="s">
        <v>48</v>
      </c>
      <c r="B17">
        <v>4</v>
      </c>
      <c r="C17" t="s">
        <v>49</v>
      </c>
      <c r="D17">
        <v>1</v>
      </c>
      <c r="E17">
        <v>16</v>
      </c>
      <c r="F17" t="str">
        <f>CONCATENATE("Up to ",Table245[[#This Row],[MaxUses]]*Table245[[#This Row],[Qty2]]," ",Table245[[#This Row],[Sell]]," for ",Table245[[#This Row],[MaxUses]]*Table245[[#This Row],[Qty]]," ",Table245[[#This Row],[Buy]])</f>
        <v>Up to 16 minecraft:leather for 64 minecraft:rotten_flesh</v>
      </c>
      <c r="H17" t="e">
        <f>G17/MIN(Table245[% Chance])</f>
        <v>#DIV/0!</v>
      </c>
      <c r="I17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{buy:{id:"minecraft:rotten_flesh",count:4},sell:{id:"minecraft:leather",count:1},priceMultiplier:0.05f,maxUses:16}</v>
      </c>
    </row>
    <row r="18" spans="1:9" x14ac:dyDescent="0.3">
      <c r="A18" t="s">
        <v>50</v>
      </c>
      <c r="B18">
        <v>1</v>
      </c>
      <c r="C18" t="s">
        <v>51</v>
      </c>
      <c r="D18">
        <v>1</v>
      </c>
      <c r="E18">
        <v>16</v>
      </c>
      <c r="F18" t="str">
        <f>CONCATENATE("Up to ",Table245[[#This Row],[MaxUses]]*Table245[[#This Row],[Qty2]]," ",Table245[[#This Row],[Sell]]," for ",Table245[[#This Row],[MaxUses]]*Table245[[#This Row],[Qty]]," ",Table245[[#This Row],[Buy]])</f>
        <v>Up to 16 minecraft:brick for 16 minecraft:clay_ball</v>
      </c>
      <c r="H18" t="e">
        <f>G18/MIN(Table245[% Chance])</f>
        <v>#DIV/0!</v>
      </c>
      <c r="I18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{buy:{id:"minecraft:clay_ball",count:1},sell:{id:"minecraft:brick",count:1},priceMultiplier:0.05f,maxUses:16}</v>
      </c>
    </row>
    <row r="19" spans="1:9" x14ac:dyDescent="0.3">
      <c r="A19" t="s">
        <v>44</v>
      </c>
      <c r="B19">
        <v>2</v>
      </c>
      <c r="C19" t="s">
        <v>17</v>
      </c>
      <c r="D19">
        <v>1</v>
      </c>
      <c r="E19">
        <v>64</v>
      </c>
      <c r="F19" t="str">
        <f>CONCATENATE("Up to ",Table245[[#This Row],[MaxUses]]*Table245[[#This Row],[Qty2]]," ",Table245[[#This Row],[Sell]]," for ",Table245[[#This Row],[MaxUses]]*Table245[[#This Row],[Qty]]," ",Table245[[#This Row],[Buy]])</f>
        <v>Up to 64 minecraft:dirt for 128 minecraft:gravel</v>
      </c>
      <c r="H19" t="e">
        <f>G19/MIN(Table245[% Chance])</f>
        <v>#DIV/0!</v>
      </c>
      <c r="I19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{buy:{id:"minecraft:gravel",count:2},sell:{id:"minecraft:dirt",count:1},priceMultiplier:0.05f,maxUses:64}</v>
      </c>
    </row>
    <row r="20" spans="1:9" x14ac:dyDescent="0.3">
      <c r="A20" t="s">
        <v>35</v>
      </c>
      <c r="C20" t="s">
        <v>35</v>
      </c>
      <c r="F20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0" t="e">
        <f>G20/MIN(Table245[% Chance])</f>
        <v>#DIV/0!</v>
      </c>
      <c r="I20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1" spans="1:9" x14ac:dyDescent="0.3">
      <c r="A21" t="s">
        <v>35</v>
      </c>
      <c r="C21" t="s">
        <v>35</v>
      </c>
      <c r="F21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1" t="e">
        <f>G21/MIN(Table245[% Chance])</f>
        <v>#DIV/0!</v>
      </c>
      <c r="I21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2" spans="1:9" x14ac:dyDescent="0.3">
      <c r="A22" t="s">
        <v>35</v>
      </c>
      <c r="C22" t="s">
        <v>35</v>
      </c>
      <c r="F22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2" t="e">
        <f>G22/MIN(Table245[% Chance])</f>
        <v>#DIV/0!</v>
      </c>
      <c r="I22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3" spans="1:9" x14ac:dyDescent="0.3">
      <c r="A23" t="s">
        <v>35</v>
      </c>
      <c r="C23" t="s">
        <v>35</v>
      </c>
      <c r="F23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3" t="e">
        <f>G23/MIN(Table245[% Chance])</f>
        <v>#DIV/0!</v>
      </c>
      <c r="I23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4" spans="1:9" x14ac:dyDescent="0.3">
      <c r="A24" t="s">
        <v>35</v>
      </c>
      <c r="C24" t="s">
        <v>35</v>
      </c>
      <c r="F24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4" t="e">
        <f>G24/MIN(Table245[% Chance])</f>
        <v>#DIV/0!</v>
      </c>
      <c r="I24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5" spans="1:9" x14ac:dyDescent="0.3">
      <c r="A25" t="s">
        <v>35</v>
      </c>
      <c r="C25" t="s">
        <v>35</v>
      </c>
      <c r="F25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5" t="e">
        <f>G25/MIN(Table245[% Chance])</f>
        <v>#DIV/0!</v>
      </c>
      <c r="I25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6" spans="1:9" x14ac:dyDescent="0.3">
      <c r="A26" t="s">
        <v>35</v>
      </c>
      <c r="C26" t="s">
        <v>35</v>
      </c>
      <c r="F26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6" t="e">
        <f>G26/MIN(Table245[% Chance])</f>
        <v>#DIV/0!</v>
      </c>
      <c r="I26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7" spans="1:9" x14ac:dyDescent="0.3">
      <c r="A27" t="s">
        <v>35</v>
      </c>
      <c r="C27" t="s">
        <v>35</v>
      </c>
      <c r="F27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7" t="e">
        <f>G27/MIN(Table245[% Chance])</f>
        <v>#DIV/0!</v>
      </c>
      <c r="I27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8" spans="1:9" x14ac:dyDescent="0.3">
      <c r="A28" t="s">
        <v>35</v>
      </c>
      <c r="C28" t="s">
        <v>35</v>
      </c>
      <c r="F28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8" t="e">
        <f>G28/MIN(Table245[% Chance])</f>
        <v>#DIV/0!</v>
      </c>
      <c r="I28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29" spans="1:9" x14ac:dyDescent="0.3">
      <c r="A29" t="s">
        <v>35</v>
      </c>
      <c r="C29" t="s">
        <v>35</v>
      </c>
      <c r="F29" t="str">
        <f>CONCATENATE("Up to ",Table245[[#This Row],[MaxUses]]*Table245[[#This Row],[Qty2]]," ",Table245[[#This Row],[Sell]]," for ",Table245[[#This Row],[MaxUses]]*Table245[[#This Row],[Qty]]," ",Table245[[#This Row],[Buy]])</f>
        <v>Up to 0 minecraft: for 0 minecraft:</v>
      </c>
      <c r="H29" t="e">
        <f>G29/MIN(Table245[% Chance])</f>
        <v>#DIV/0!</v>
      </c>
      <c r="I29" t="str">
        <f>CONCATENATE("{buy:{id:""",Table245[[#This Row],[Buy]],""",count:",Table245[[#This Row],[Qty]],"},sell:{id:""",Table245[[#This Row],[Sell]],""",count:",Table245[[#This Row],[Qty2]],"},priceMultiplier:0.05f,maxUses:",Table245[[#This Row],[MaxUses]],"}")</f>
        <v>{buy:{id:"minecraft:",count:},sell:{id:"minecraft:",count:},priceMultiplier:0.05f,maxUses:}</v>
      </c>
    </row>
    <row r="30" spans="1:9" x14ac:dyDescent="0.3">
      <c r="A30" t="s">
        <v>6</v>
      </c>
      <c r="G30">
        <f>SUBTOTAL(109,Table245[% Chance])</f>
        <v>0</v>
      </c>
      <c r="H30" t="e">
        <f>SUBTOTAL(109,Table245[Weight])</f>
        <v>#DIV/0!</v>
      </c>
    </row>
  </sheetData>
  <conditionalFormatting sqref="G30">
    <cfRule type="cellIs" dxfId="5" priority="1" operator="notEqual">
      <formula>100</formula>
    </cfRule>
    <cfRule type="cellIs" dxfId="4" priority="2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F0E4D-4BD1-4E06-8E52-91FA6C02A0F9}">
  <dimension ref="A1:I15"/>
  <sheetViews>
    <sheetView zoomScale="120" zoomScaleNormal="120" workbookViewId="0">
      <selection activeCell="G15" sqref="G15"/>
    </sheetView>
  </sheetViews>
  <sheetFormatPr defaultRowHeight="14.4" x14ac:dyDescent="0.3"/>
  <cols>
    <col min="1" max="1" width="16.5546875" bestFit="1" customWidth="1"/>
    <col min="2" max="2" width="6.21875" bestFit="1" customWidth="1"/>
    <col min="3" max="3" width="21.77734375" bestFit="1" customWidth="1"/>
    <col min="4" max="4" width="7.21875" bestFit="1" customWidth="1"/>
    <col min="5" max="5" width="10.77734375" bestFit="1" customWidth="1"/>
    <col min="6" max="6" width="50.44140625" bestFit="1" customWidth="1"/>
    <col min="7" max="7" width="11.33203125" style="1" bestFit="1" customWidth="1"/>
    <col min="8" max="8" width="9.21875" bestFit="1" customWidth="1"/>
    <col min="9" max="9" width="100" bestFit="1" customWidth="1"/>
  </cols>
  <sheetData>
    <row r="1" spans="1:9" x14ac:dyDescent="0.3">
      <c r="A1" t="s">
        <v>3</v>
      </c>
      <c r="B1" t="s">
        <v>4</v>
      </c>
      <c r="C1" t="s">
        <v>2</v>
      </c>
      <c r="D1" t="s">
        <v>5</v>
      </c>
      <c r="E1" t="s">
        <v>7</v>
      </c>
      <c r="F1" t="s">
        <v>31</v>
      </c>
      <c r="G1" s="1" t="s">
        <v>1</v>
      </c>
      <c r="H1" t="s">
        <v>0</v>
      </c>
      <c r="I1" t="s">
        <v>8</v>
      </c>
    </row>
    <row r="2" spans="1:9" x14ac:dyDescent="0.3">
      <c r="A2" t="s">
        <v>13</v>
      </c>
      <c r="B2">
        <v>1</v>
      </c>
      <c r="C2" t="s">
        <v>14</v>
      </c>
      <c r="D2">
        <v>1</v>
      </c>
      <c r="E2">
        <v>8</v>
      </c>
      <c r="F2" t="str">
        <f>CONCATENATE("Up to ",Table22[[#This Row],[MaxUses]]*Table22[[#This Row],[Qty2]]," ",Table22[[#This Row],[Sell]]," for ",Table22[[#This Row],[MaxUses]]*Table22[[#This Row],[Qty]]," ",Table22[[#This Row],[Buy]])</f>
        <v>Up to 8 minecraft:mycelium for 8 minecraft:emerald</v>
      </c>
      <c r="G2" s="1">
        <f>1/(LEN(Table22[Buy])-4)*100</f>
        <v>7.6923076923076925</v>
      </c>
      <c r="H2">
        <f>G2/MIN(Table22[% Chance])</f>
        <v>1</v>
      </c>
      <c r="I2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{buy:{id:"minecraft:emerald",count:1},sell:{id:"minecraft:mycelium",count:1},priceMultiplier:0.05f,maxUses:8}</v>
      </c>
    </row>
    <row r="3" spans="1:9" x14ac:dyDescent="0.3">
      <c r="A3" t="s">
        <v>13</v>
      </c>
      <c r="B3">
        <v>1</v>
      </c>
      <c r="C3" t="s">
        <v>17</v>
      </c>
      <c r="D3">
        <v>8</v>
      </c>
      <c r="E3">
        <v>4</v>
      </c>
      <c r="F3" t="str">
        <f>CONCATENATE("Up to ",Table22[[#This Row],[MaxUses]]*Table22[[#This Row],[Qty2]]," ",Table22[[#This Row],[Sell]]," for ",Table22[[#This Row],[MaxUses]]*Table22[[#This Row],[Qty]]," ",Table22[[#This Row],[Buy]])</f>
        <v>Up to 32 minecraft:dirt for 4 minecraft:emerald</v>
      </c>
      <c r="G3" s="1">
        <f>1/(LEN(Table22[Buy])-4)*100</f>
        <v>7.6923076923076925</v>
      </c>
      <c r="H3">
        <f>G3/MIN(Table22[% Chance])</f>
        <v>1</v>
      </c>
      <c r="I3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{buy:{id:"minecraft:emerald",count:1},sell:{id:"minecraft:dirt",count:8},priceMultiplier:0.05f,maxUses:4}</v>
      </c>
    </row>
    <row r="4" spans="1:9" x14ac:dyDescent="0.3">
      <c r="A4" t="s">
        <v>13</v>
      </c>
      <c r="B4">
        <v>1</v>
      </c>
      <c r="C4" t="s">
        <v>18</v>
      </c>
      <c r="D4">
        <v>1</v>
      </c>
      <c r="E4">
        <v>16</v>
      </c>
      <c r="F4" t="str">
        <f>CONCATENATE("Up to ",Table22[[#This Row],[MaxUses]]*Table22[[#This Row],[Qty2]]," ",Table22[[#This Row],[Sell]]," for ",Table22[[#This Row],[MaxUses]]*Table22[[#This Row],[Qty]]," ",Table22[[#This Row],[Buy]])</f>
        <v>Up to 16 minecraft:blue_ice for 16 minecraft:emerald</v>
      </c>
      <c r="G4" s="1">
        <f>1/(LEN(Table22[Buy])-4)*100</f>
        <v>7.6923076923076925</v>
      </c>
      <c r="H4">
        <f>G4/MIN(Table22[% Chance])</f>
        <v>1</v>
      </c>
      <c r="I4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{buy:{id:"minecraft:emerald",count:1},sell:{id:"minecraft:blue_ice",count:1},priceMultiplier:0.05f,maxUses:16}</v>
      </c>
    </row>
    <row r="5" spans="1:9" x14ac:dyDescent="0.3">
      <c r="A5" t="s">
        <v>13</v>
      </c>
      <c r="B5">
        <v>1</v>
      </c>
      <c r="C5" t="s">
        <v>19</v>
      </c>
      <c r="D5">
        <v>2</v>
      </c>
      <c r="E5">
        <v>8</v>
      </c>
      <c r="F5" t="str">
        <f>CONCATENATE("Up to ",Table22[[#This Row],[MaxUses]]*Table22[[#This Row],[Qty2]]," ",Table22[[#This Row],[Sell]]," for ",Table22[[#This Row],[MaxUses]]*Table22[[#This Row],[Qty]]," ",Table22[[#This Row],[Buy]])</f>
        <v>Up to 16 minecraft:podzol for 8 minecraft:emerald</v>
      </c>
      <c r="G5" s="1">
        <f>1/(LEN(Table22[Buy])-4)*100</f>
        <v>7.6923076923076925</v>
      </c>
      <c r="H5">
        <f>G5/MIN(Table22[% Chance])</f>
        <v>1</v>
      </c>
      <c r="I5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{buy:{id:"minecraft:emerald",count:1},sell:{id:"minecraft:podzol",count:2},priceMultiplier:0.05f,maxUses:8}</v>
      </c>
    </row>
    <row r="6" spans="1:9" x14ac:dyDescent="0.3">
      <c r="A6" t="s">
        <v>13</v>
      </c>
      <c r="B6">
        <v>1</v>
      </c>
      <c r="C6" t="s">
        <v>21</v>
      </c>
      <c r="D6">
        <v>16</v>
      </c>
      <c r="E6">
        <v>2</v>
      </c>
      <c r="F6" t="str">
        <f>CONCATENATE("Up to ",Table22[[#This Row],[MaxUses]]*Table22[[#This Row],[Qty2]]," ",Table22[[#This Row],[Sell]]," for ",Table22[[#This Row],[MaxUses]]*Table22[[#This Row],[Qty]]," ",Table22[[#This Row],[Buy]])</f>
        <v>Up to 32 minecraft:oak_log for 2 minecraft:emerald</v>
      </c>
      <c r="G6" s="1">
        <f>1/(LEN(Table22[Buy])-4)*100</f>
        <v>7.6923076923076925</v>
      </c>
      <c r="H6">
        <f>G6/MIN(Table22[% Chance])</f>
        <v>1</v>
      </c>
      <c r="I6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{buy:{id:"minecraft:emerald",count:1},sell:{id:"minecraft:oak_log",count:16},priceMultiplier:0.05f,maxUses:2}</v>
      </c>
    </row>
    <row r="7" spans="1:9" x14ac:dyDescent="0.3">
      <c r="A7" t="s">
        <v>13</v>
      </c>
      <c r="B7">
        <v>1</v>
      </c>
      <c r="C7" t="s">
        <v>22</v>
      </c>
      <c r="D7">
        <v>16</v>
      </c>
      <c r="E7">
        <v>2</v>
      </c>
      <c r="F7" t="str">
        <f>CONCATENATE("Up to ",Table22[[#This Row],[MaxUses]]*Table22[[#This Row],[Qty2]]," ",Table22[[#This Row],[Sell]]," for ",Table22[[#This Row],[MaxUses]]*Table22[[#This Row],[Qty]]," ",Table22[[#This Row],[Buy]])</f>
        <v>Up to 32 minecraft:spruce_log for 2 minecraft:emerald</v>
      </c>
      <c r="G7" s="1">
        <f>1/(LEN(Table22[Buy])-4)*100</f>
        <v>7.6923076923076925</v>
      </c>
      <c r="H7">
        <f>G7/MIN(Table22[% Chance])</f>
        <v>1</v>
      </c>
      <c r="I7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{buy:{id:"minecraft:emerald",count:1},sell:{id:"minecraft:spruce_log",count:16},priceMultiplier:0.05f,maxUses:2}</v>
      </c>
    </row>
    <row r="8" spans="1:9" x14ac:dyDescent="0.3">
      <c r="A8" t="s">
        <v>13</v>
      </c>
      <c r="B8">
        <v>1</v>
      </c>
      <c r="C8" t="s">
        <v>23</v>
      </c>
      <c r="D8">
        <v>16</v>
      </c>
      <c r="E8">
        <v>2</v>
      </c>
      <c r="F8" t="str">
        <f>CONCATENATE("Up to ",Table22[[#This Row],[MaxUses]]*Table22[[#This Row],[Qty2]]," ",Table22[[#This Row],[Sell]]," for ",Table22[[#This Row],[MaxUses]]*Table22[[#This Row],[Qty]]," ",Table22[[#This Row],[Buy]])</f>
        <v>Up to 32 minecraft:birch_log for 2 minecraft:emerald</v>
      </c>
      <c r="G8" s="1">
        <f>1/(LEN(Table22[Buy])-4)*100</f>
        <v>7.6923076923076925</v>
      </c>
      <c r="H8">
        <f>G8/MIN(Table22[% Chance])</f>
        <v>1</v>
      </c>
      <c r="I8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{buy:{id:"minecraft:emerald",count:1},sell:{id:"minecraft:birch_log",count:16},priceMultiplier:0.05f,maxUses:2}</v>
      </c>
    </row>
    <row r="9" spans="1:9" x14ac:dyDescent="0.3">
      <c r="A9" t="s">
        <v>13</v>
      </c>
      <c r="B9">
        <v>1</v>
      </c>
      <c r="C9" t="s">
        <v>24</v>
      </c>
      <c r="D9">
        <v>16</v>
      </c>
      <c r="E9">
        <v>2</v>
      </c>
      <c r="F9" t="str">
        <f>CONCATENATE("Up to ",Table22[[#This Row],[MaxUses]]*Table22[[#This Row],[Qty2]]," ",Table22[[#This Row],[Sell]]," for ",Table22[[#This Row],[MaxUses]]*Table22[[#This Row],[Qty]]," ",Table22[[#This Row],[Buy]])</f>
        <v>Up to 32 minecraft:jungle_log for 2 minecraft:emerald</v>
      </c>
      <c r="G9" s="1">
        <f>1/(LEN(Table22[Buy])-4)*100</f>
        <v>7.6923076923076925</v>
      </c>
      <c r="H9">
        <f>G9/MIN(Table22[% Chance])</f>
        <v>1</v>
      </c>
      <c r="I9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{buy:{id:"minecraft:emerald",count:1},sell:{id:"minecraft:jungle_log",count:16},priceMultiplier:0.05f,maxUses:2}</v>
      </c>
    </row>
    <row r="10" spans="1:9" x14ac:dyDescent="0.3">
      <c r="A10" t="s">
        <v>13</v>
      </c>
      <c r="B10">
        <v>1</v>
      </c>
      <c r="C10" t="s">
        <v>25</v>
      </c>
      <c r="D10">
        <v>16</v>
      </c>
      <c r="E10">
        <v>2</v>
      </c>
      <c r="F10" t="str">
        <f>CONCATENATE("Up to ",Table22[[#This Row],[MaxUses]]*Table22[[#This Row],[Qty2]]," ",Table22[[#This Row],[Sell]]," for ",Table22[[#This Row],[MaxUses]]*Table22[[#This Row],[Qty]]," ",Table22[[#This Row],[Buy]])</f>
        <v>Up to 32 minecraft:dark_oak_log for 2 minecraft:emerald</v>
      </c>
      <c r="G10" s="1">
        <f>1/(LEN(Table22[Buy])-4)*100</f>
        <v>7.6923076923076925</v>
      </c>
      <c r="H10">
        <f>G10/MIN(Table22[% Chance])</f>
        <v>1</v>
      </c>
      <c r="I10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{buy:{id:"minecraft:emerald",count:1},sell:{id:"minecraft:dark_oak_log",count:16},priceMultiplier:0.05f,maxUses:2}</v>
      </c>
    </row>
    <row r="11" spans="1:9" x14ac:dyDescent="0.3">
      <c r="A11" t="s">
        <v>13</v>
      </c>
      <c r="B11">
        <v>1</v>
      </c>
      <c r="C11" t="s">
        <v>26</v>
      </c>
      <c r="D11">
        <v>16</v>
      </c>
      <c r="E11">
        <v>2</v>
      </c>
      <c r="F11" t="str">
        <f>CONCATENATE("Up to ",Table22[[#This Row],[MaxUses]]*Table22[[#This Row],[Qty2]]," ",Table22[[#This Row],[Sell]]," for ",Table22[[#This Row],[MaxUses]]*Table22[[#This Row],[Qty]]," ",Table22[[#This Row],[Buy]])</f>
        <v>Up to 32 minecraft:acacia_log for 2 minecraft:emerald</v>
      </c>
      <c r="G11" s="1">
        <f>1/(LEN(Table22[Buy])-4)*100</f>
        <v>7.6923076923076925</v>
      </c>
      <c r="H11">
        <f>G11/MIN(Table22[% Chance])</f>
        <v>1</v>
      </c>
      <c r="I11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{buy:{id:"minecraft:emerald",count:1},sell:{id:"minecraft:acacia_log",count:16},priceMultiplier:0.05f,maxUses:2}</v>
      </c>
    </row>
    <row r="12" spans="1:9" x14ac:dyDescent="0.3">
      <c r="A12" t="s">
        <v>13</v>
      </c>
      <c r="B12">
        <v>1</v>
      </c>
      <c r="C12" t="s">
        <v>27</v>
      </c>
      <c r="D12">
        <v>16</v>
      </c>
      <c r="E12">
        <v>2</v>
      </c>
      <c r="F12" t="str">
        <f>CONCATENATE("Up to ",Table22[[#This Row],[MaxUses]]*Table22[[#This Row],[Qty2]]," ",Table22[[#This Row],[Sell]]," for ",Table22[[#This Row],[MaxUses]]*Table22[[#This Row],[Qty]]," ",Table22[[#This Row],[Buy]])</f>
        <v>Up to 32 minecraft:cherry_log for 2 minecraft:emerald</v>
      </c>
      <c r="G12" s="1">
        <f>1/(LEN(Table22[Buy])-4)*100</f>
        <v>7.6923076923076925</v>
      </c>
      <c r="H12">
        <f>G12/MIN(Table22[% Chance])</f>
        <v>1</v>
      </c>
      <c r="I12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{buy:{id:"minecraft:emerald",count:1},sell:{id:"minecraft:cherry_log",count:16},priceMultiplier:0.05f,maxUses:2}</v>
      </c>
    </row>
    <row r="13" spans="1:9" x14ac:dyDescent="0.3">
      <c r="A13" t="s">
        <v>13</v>
      </c>
      <c r="B13">
        <v>1</v>
      </c>
      <c r="C13" t="s">
        <v>28</v>
      </c>
      <c r="D13">
        <v>16</v>
      </c>
      <c r="E13">
        <v>2</v>
      </c>
      <c r="F13" t="str">
        <f>CONCATENATE("Up to ",Table22[[#This Row],[MaxUses]]*Table22[[#This Row],[Qty2]]," ",Table22[[#This Row],[Sell]]," for ",Table22[[#This Row],[MaxUses]]*Table22[[#This Row],[Qty]]," ",Table22[[#This Row],[Buy]])</f>
        <v>Up to 32 minecraft:mangrove_log for 2 minecraft:emerald</v>
      </c>
      <c r="G13" s="1">
        <f>1/(LEN(Table22[Buy])-4)*100</f>
        <v>7.6923076923076925</v>
      </c>
      <c r="H13">
        <f>G13/MIN(Table22[% Chance])</f>
        <v>1</v>
      </c>
      <c r="I13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{buy:{id:"minecraft:emerald",count:1},sell:{id:"minecraft:mangrove_log",count:16},priceMultiplier:0.05f,maxUses:2}</v>
      </c>
    </row>
    <row r="14" spans="1:9" x14ac:dyDescent="0.3">
      <c r="A14" t="s">
        <v>13</v>
      </c>
      <c r="B14">
        <v>1</v>
      </c>
      <c r="C14" t="s">
        <v>29</v>
      </c>
      <c r="D14">
        <v>16</v>
      </c>
      <c r="E14">
        <v>2</v>
      </c>
      <c r="F14" t="str">
        <f>CONCATENATE("Up to ",Table22[[#This Row],[MaxUses]]*Table22[[#This Row],[Qty2]]," ",Table22[[#This Row],[Sell]]," for ",Table22[[#This Row],[MaxUses]]*Table22[[#This Row],[Qty]]," ",Table22[[#This Row],[Buy]])</f>
        <v>Up to 32 minecraft:pale_oak_log for 2 minecraft:emerald</v>
      </c>
      <c r="G14" s="1">
        <f>1/(LEN(Table22[Buy])-4)*100</f>
        <v>7.6923076923076925</v>
      </c>
      <c r="H14">
        <f>G14/MIN(Table22[% Chance])</f>
        <v>1</v>
      </c>
      <c r="I14" t="str">
        <f>CONCATENATE("{buy:{id:""",Table22[[#This Row],[Buy]],""",count:",Table22[[#This Row],[Qty]],"},sell:{id:""",Table22[[#This Row],[Sell]],""",count:",Table22[[#This Row],[Qty2]],"},priceMultiplier:0.05f,maxUses:",Table22[[#This Row],[MaxUses]],"}")</f>
        <v>{buy:{id:"minecraft:emerald",count:1},sell:{id:"minecraft:pale_oak_log",count:16},priceMultiplier:0.05f,maxUses:2}</v>
      </c>
    </row>
    <row r="15" spans="1:9" x14ac:dyDescent="0.3">
      <c r="A15" t="s">
        <v>6</v>
      </c>
      <c r="G15" s="2">
        <f>SUBTOTAL(109,Table22[% Chance])</f>
        <v>100</v>
      </c>
      <c r="H15">
        <f>SUBTOTAL(109,Table22[Weight])</f>
        <v>13</v>
      </c>
    </row>
  </sheetData>
  <conditionalFormatting sqref="G15">
    <cfRule type="cellIs" dxfId="3" priority="1" operator="notEqual">
      <formula>100</formula>
    </cfRule>
    <cfRule type="cellIs" dxfId="2" priority="2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818F8-D48F-4170-BFEF-18D3C9F7632F}">
  <dimension ref="A1:I21"/>
  <sheetViews>
    <sheetView zoomScale="120" zoomScaleNormal="120" workbookViewId="0">
      <selection activeCell="D3" sqref="D3"/>
    </sheetView>
  </sheetViews>
  <sheetFormatPr defaultRowHeight="14.4" x14ac:dyDescent="0.3"/>
  <cols>
    <col min="1" max="1" width="16.33203125" bestFit="1" customWidth="1"/>
    <col min="2" max="2" width="6.21875" bestFit="1" customWidth="1"/>
    <col min="3" max="3" width="17.5546875" bestFit="1" customWidth="1"/>
    <col min="4" max="4" width="7.21875" bestFit="1" customWidth="1"/>
    <col min="5" max="5" width="10.77734375" bestFit="1" customWidth="1"/>
    <col min="6" max="6" width="44.77734375" bestFit="1" customWidth="1"/>
    <col min="7" max="7" width="11.33203125" bestFit="1" customWidth="1"/>
    <col min="8" max="8" width="9.21875" bestFit="1" customWidth="1"/>
    <col min="9" max="9" width="93.44140625" bestFit="1" customWidth="1"/>
  </cols>
  <sheetData>
    <row r="1" spans="1:9" x14ac:dyDescent="0.3">
      <c r="A1" t="s">
        <v>3</v>
      </c>
      <c r="B1" t="s">
        <v>4</v>
      </c>
      <c r="C1" t="s">
        <v>2</v>
      </c>
      <c r="D1" t="s">
        <v>5</v>
      </c>
      <c r="E1" t="s">
        <v>7</v>
      </c>
      <c r="F1" t="s">
        <v>31</v>
      </c>
      <c r="G1" t="s">
        <v>1</v>
      </c>
      <c r="H1" t="s">
        <v>0</v>
      </c>
      <c r="I1" t="s">
        <v>8</v>
      </c>
    </row>
    <row r="2" spans="1:9" x14ac:dyDescent="0.3">
      <c r="A2" t="s">
        <v>13</v>
      </c>
      <c r="B2">
        <v>1</v>
      </c>
      <c r="C2" t="s">
        <v>14</v>
      </c>
      <c r="D2">
        <v>1</v>
      </c>
      <c r="E2">
        <v>4</v>
      </c>
      <c r="F2" t="str">
        <f>CONCATENATE("Up to ",Table2[[#This Row],[MaxUses]]*Table2[[#This Row],[Qty2]]," ",Table2[[#This Row],[Sell]]," for ",Table2[[#This Row],[MaxUses]]*Table2[[#This Row],[Qty]]," ",Table2[[#This Row],[Buy]])</f>
        <v>Up to 4 minecraft:mycelium for 4 minecraft:emerald</v>
      </c>
      <c r="H2" t="e">
        <f>G2/MIN(Table2[% Chance])</f>
        <v>#DIV/0!</v>
      </c>
      <c r="I2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{buy:{id:"minecraft:emerald",count:1},sell:{id:"minecraft:mycelium",count:1},priceMultiplier:0.05f,maxUses:4}</v>
      </c>
    </row>
    <row r="3" spans="1:9" x14ac:dyDescent="0.3">
      <c r="A3" t="s">
        <v>13</v>
      </c>
      <c r="B3">
        <v>1</v>
      </c>
      <c r="C3" t="s">
        <v>20</v>
      </c>
      <c r="D3">
        <v>8</v>
      </c>
      <c r="E3">
        <v>2</v>
      </c>
      <c r="F3" t="str">
        <f>CONCATENATE("Up to ",Table2[[#This Row],[MaxUses]]*Table2[[#This Row],[Qty2]]," ",Table2[[#This Row],[Sell]]," for ",Table2[[#This Row],[MaxUses]]*Table2[[#This Row],[Qty]]," ",Table2[[#This Row],[Buy]])</f>
        <v>Up to 16 minecraft:gunpowder for 2 minecraft:emerald</v>
      </c>
      <c r="H3" t="e">
        <f>G3/MIN(Table2[% Chance])</f>
        <v>#DIV/0!</v>
      </c>
      <c r="I3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{buy:{id:"minecraft:emerald",count:1},sell:{id:"minecraft:gunpowder",count:8},priceMultiplier:0.05f,maxUses:2}</v>
      </c>
    </row>
    <row r="4" spans="1:9" x14ac:dyDescent="0.3">
      <c r="A4" t="s">
        <v>13</v>
      </c>
      <c r="F4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4" t="e">
        <f>G4/MIN(Table2[% Chance])</f>
        <v>#DIV/0!</v>
      </c>
      <c r="I4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5" spans="1:9" x14ac:dyDescent="0.3">
      <c r="A5" t="s">
        <v>13</v>
      </c>
      <c r="F5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5" t="e">
        <f>G5/MIN(Table2[% Chance])</f>
        <v>#DIV/0!</v>
      </c>
      <c r="I5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6" spans="1:9" x14ac:dyDescent="0.3">
      <c r="A6" t="s">
        <v>13</v>
      </c>
      <c r="F6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6" t="e">
        <f>G6/MIN(Table2[% Chance])</f>
        <v>#DIV/0!</v>
      </c>
      <c r="I6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7" spans="1:9" x14ac:dyDescent="0.3">
      <c r="A7" t="s">
        <v>13</v>
      </c>
      <c r="F7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7" t="e">
        <f>G7/MIN(Table2[% Chance])</f>
        <v>#DIV/0!</v>
      </c>
      <c r="I7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8" spans="1:9" x14ac:dyDescent="0.3">
      <c r="A8" t="s">
        <v>13</v>
      </c>
      <c r="F8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8" t="e">
        <f>G8/MIN(Table2[% Chance])</f>
        <v>#DIV/0!</v>
      </c>
      <c r="I8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9" spans="1:9" x14ac:dyDescent="0.3">
      <c r="A9" t="s">
        <v>13</v>
      </c>
      <c r="F9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9" t="e">
        <f>G9/MIN(Table2[% Chance])</f>
        <v>#DIV/0!</v>
      </c>
      <c r="I9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0" spans="1:9" x14ac:dyDescent="0.3">
      <c r="A10" t="s">
        <v>13</v>
      </c>
      <c r="F10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0" t="e">
        <f>G10/MIN(Table2[% Chance])</f>
        <v>#DIV/0!</v>
      </c>
      <c r="I10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1" spans="1:9" x14ac:dyDescent="0.3">
      <c r="A11" t="s">
        <v>13</v>
      </c>
      <c r="F11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1" t="e">
        <f>G11/MIN(Table2[% Chance])</f>
        <v>#DIV/0!</v>
      </c>
      <c r="I11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2" spans="1:9" x14ac:dyDescent="0.3">
      <c r="A12" t="s">
        <v>13</v>
      </c>
      <c r="F12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2" t="e">
        <f>G12/MIN(Table2[% Chance])</f>
        <v>#DIV/0!</v>
      </c>
      <c r="I12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3" spans="1:9" x14ac:dyDescent="0.3">
      <c r="A13" t="s">
        <v>13</v>
      </c>
      <c r="F13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3" t="e">
        <f>G13/MIN(Table2[% Chance])</f>
        <v>#DIV/0!</v>
      </c>
      <c r="I13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4" spans="1:9" x14ac:dyDescent="0.3">
      <c r="A14" t="s">
        <v>13</v>
      </c>
      <c r="F14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4" t="e">
        <f>G14/MIN(Table2[% Chance])</f>
        <v>#DIV/0!</v>
      </c>
      <c r="I14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5" spans="1:9" x14ac:dyDescent="0.3">
      <c r="A15" t="s">
        <v>13</v>
      </c>
      <c r="F15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5" t="e">
        <f>G15/MIN(Table2[% Chance])</f>
        <v>#DIV/0!</v>
      </c>
      <c r="I15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6" spans="1:9" x14ac:dyDescent="0.3">
      <c r="A16" t="s">
        <v>13</v>
      </c>
      <c r="F16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6" t="e">
        <f>G16/MIN(Table2[% Chance])</f>
        <v>#DIV/0!</v>
      </c>
      <c r="I16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7" spans="1:9" x14ac:dyDescent="0.3">
      <c r="A17" t="s">
        <v>13</v>
      </c>
      <c r="F17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7" t="e">
        <f>G17/MIN(Table2[% Chance])</f>
        <v>#DIV/0!</v>
      </c>
      <c r="I17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8" spans="1:9" x14ac:dyDescent="0.3">
      <c r="A18" t="s">
        <v>13</v>
      </c>
      <c r="F18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8" t="e">
        <f>G18/MIN(Table2[% Chance])</f>
        <v>#DIV/0!</v>
      </c>
      <c r="I18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19" spans="1:9" x14ac:dyDescent="0.3">
      <c r="A19" t="s">
        <v>13</v>
      </c>
      <c r="F19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19" t="e">
        <f>G19/MIN(Table2[% Chance])</f>
        <v>#DIV/0!</v>
      </c>
      <c r="I19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20" spans="1:9" x14ac:dyDescent="0.3">
      <c r="A20" t="s">
        <v>13</v>
      </c>
      <c r="F20" t="str">
        <f>CONCATENATE("Up to ",Table2[[#This Row],[MaxUses]]*Table2[[#This Row],[Qty2]]," ",Table2[[#This Row],[Sell]]," for ",Table2[[#This Row],[MaxUses]]*Table2[[#This Row],[Qty]]," ",Table2[[#This Row],[Buy]])</f>
        <v>Up to 0  for 0 minecraft:emerald</v>
      </c>
      <c r="H20" t="e">
        <f>G20/MIN(Table2[% Chance])</f>
        <v>#DIV/0!</v>
      </c>
      <c r="I20" t="str">
        <f>CONCATENATE("{buy:{id:""",Table2[[#This Row],[Buy]],""",count:",Table2[[#This Row],[Qty]],"},sell:{id:""",Table2[[#This Row],[Sell]],""",count:",Table2[[#This Row],[Qty2]],"},priceMultiplier:0.05f,maxUses:",Table2[[#This Row],[MaxUses]],"}")</f>
        <v>{buy:{id:"minecraft:emerald",count:},sell:{id:"",count:},priceMultiplier:0.05f,maxUses:}</v>
      </c>
    </row>
    <row r="21" spans="1:9" x14ac:dyDescent="0.3">
      <c r="A21" t="s">
        <v>6</v>
      </c>
      <c r="G21">
        <f>SUBTOTAL(109,Table2[% Chance])</f>
        <v>0</v>
      </c>
      <c r="H21" t="e">
        <f>SUBTOTAL(109,Table2[Weight])</f>
        <v>#DIV/0!</v>
      </c>
    </row>
  </sheetData>
  <phoneticPr fontId="1" type="noConversion"/>
  <conditionalFormatting sqref="G21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</vt:lpstr>
      <vt:lpstr>2</vt:lpstr>
      <vt:lpstr>3</vt:lpstr>
      <vt:lpstr>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Gianluca Oppedisano</dc:creator>
  <cp:lastModifiedBy>Gianluca Oppedisano</cp:lastModifiedBy>
  <dcterms:created xsi:type="dcterms:W3CDTF">2025-11-15T02:03:27Z</dcterms:created>
  <dcterms:modified xsi:type="dcterms:W3CDTF">2025-11-16T05:59:03Z</dcterms:modified>
</cp:coreProperties>
</file>